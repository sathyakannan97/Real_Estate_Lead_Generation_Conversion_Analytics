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Real_Estate_lead_generation_Conversation_Analytics\_Excel\"/>
    </mc:Choice>
  </mc:AlternateContent>
  <bookViews>
    <workbookView xWindow="0" yWindow="0" windowWidth="11670" windowHeight="5835"/>
  </bookViews>
  <sheets>
    <sheet name="Sheet1" sheetId="1" r:id="rId1"/>
    <sheet name="Raw_Data" sheetId="2" r:id="rId2"/>
    <sheet name="lead_source Analysis" sheetId="4" r:id="rId3"/>
    <sheet name="Property_Type_Analysis" sheetId="6" r:id="rId4"/>
    <sheet name="Location_Analysis" sheetId="7" r:id="rId5"/>
    <sheet name="Budget Analysis" sheetId="8" r:id="rId6"/>
    <sheet name="Call_Attempt_Analysis" sheetId="9" r:id="rId7"/>
    <sheet name="Site_Visit_Analysis" sheetId="10" r:id="rId8"/>
    <sheet name="Analysis" sheetId="3" r:id="rId9"/>
    <sheet name="Source_SiteVisit_Analysis" sheetId="11" r:id="rId10"/>
    <sheet name="Dashboard" sheetId="12" r:id="rId11"/>
  </sheets>
  <calcPr calcId="152511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3" l="1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B8" i="3"/>
  <c r="B9" i="3"/>
  <c r="B7" i="3"/>
  <c r="B6" i="3"/>
  <c r="B5" i="3"/>
  <c r="B10" i="3" s="1"/>
  <c r="B3" i="3"/>
  <c r="B4" i="3" s="1"/>
  <c r="B2" i="3"/>
  <c r="B11" i="3" l="1"/>
</calcChain>
</file>

<file path=xl/sharedStrings.xml><?xml version="1.0" encoding="utf-8"?>
<sst xmlns="http://schemas.openxmlformats.org/spreadsheetml/2006/main" count="8204" uniqueCount="1071">
  <si>
    <t>Lead_ID</t>
  </si>
  <si>
    <t>Lead_Date</t>
  </si>
  <si>
    <t>Lead_Source</t>
  </si>
  <si>
    <t>Location</t>
  </si>
  <si>
    <t>Property_Type</t>
  </si>
  <si>
    <t>Budget</t>
  </si>
  <si>
    <t>Call_Attempts</t>
  </si>
  <si>
    <t>Call_Status</t>
  </si>
  <si>
    <t>Follow_Up</t>
  </si>
  <si>
    <t>Site_Visit</t>
  </si>
  <si>
    <t>Lead_Status</t>
  </si>
  <si>
    <t>Sales_Value</t>
  </si>
  <si>
    <t>L001</t>
  </si>
  <si>
    <t>Website</t>
  </si>
  <si>
    <t>Chennai</t>
  </si>
  <si>
    <t>Apartment</t>
  </si>
  <si>
    <t>Connected</t>
  </si>
  <si>
    <t>Yes</t>
  </si>
  <si>
    <t>Converted</t>
  </si>
  <si>
    <t>L002</t>
  </si>
  <si>
    <t>Facebook</t>
  </si>
  <si>
    <t>Coimbatore</t>
  </si>
  <si>
    <t>Villa</t>
  </si>
  <si>
    <t>No</t>
  </si>
  <si>
    <t>Follow-up</t>
  </si>
  <si>
    <t>L003</t>
  </si>
  <si>
    <t>Google</t>
  </si>
  <si>
    <t>Plot</t>
  </si>
  <si>
    <t>Lost</t>
  </si>
  <si>
    <t>L004</t>
  </si>
  <si>
    <t>Instagram</t>
  </si>
  <si>
    <t>Tambaram</t>
  </si>
  <si>
    <t>L005</t>
  </si>
  <si>
    <t>Referral</t>
  </si>
  <si>
    <t>Chengalpattu</t>
  </si>
  <si>
    <t>L006</t>
  </si>
  <si>
    <t>Property Portal</t>
  </si>
  <si>
    <t>Not Connected</t>
  </si>
  <si>
    <t>L007</t>
  </si>
  <si>
    <t>L008</t>
  </si>
  <si>
    <t>L009</t>
  </si>
  <si>
    <t>L010</t>
  </si>
  <si>
    <t>L0001</t>
  </si>
  <si>
    <t>L0002</t>
  </si>
  <si>
    <t>L0003</t>
  </si>
  <si>
    <t>L0004</t>
  </si>
  <si>
    <t>L0005</t>
  </si>
  <si>
    <t>L0006</t>
  </si>
  <si>
    <t>L0007</t>
  </si>
  <si>
    <t>L0008</t>
  </si>
  <si>
    <t>L0009</t>
  </si>
  <si>
    <t>L0010</t>
  </si>
  <si>
    <t>L0011</t>
  </si>
  <si>
    <t>L0012</t>
  </si>
  <si>
    <t>L0013</t>
  </si>
  <si>
    <t>L0014</t>
  </si>
  <si>
    <t>L0015</t>
  </si>
  <si>
    <t>L0016</t>
  </si>
  <si>
    <t>L0017</t>
  </si>
  <si>
    <t>L0018</t>
  </si>
  <si>
    <t>L0019</t>
  </si>
  <si>
    <t>L0020</t>
  </si>
  <si>
    <t>L0021</t>
  </si>
  <si>
    <t>L0022</t>
  </si>
  <si>
    <t>L0023</t>
  </si>
  <si>
    <t>L0024</t>
  </si>
  <si>
    <t>L0025</t>
  </si>
  <si>
    <t>L0026</t>
  </si>
  <si>
    <t>L0027</t>
  </si>
  <si>
    <t>L0028</t>
  </si>
  <si>
    <t>L0029</t>
  </si>
  <si>
    <t>L0030</t>
  </si>
  <si>
    <t>L0031</t>
  </si>
  <si>
    <t>L0032</t>
  </si>
  <si>
    <t>L0033</t>
  </si>
  <si>
    <t>L0034</t>
  </si>
  <si>
    <t>L0035</t>
  </si>
  <si>
    <t>L0036</t>
  </si>
  <si>
    <t>L0037</t>
  </si>
  <si>
    <t>L0038</t>
  </si>
  <si>
    <t>L0039</t>
  </si>
  <si>
    <t>L0040</t>
  </si>
  <si>
    <t>L0041</t>
  </si>
  <si>
    <t>L0042</t>
  </si>
  <si>
    <t>L0043</t>
  </si>
  <si>
    <t>L0044</t>
  </si>
  <si>
    <t>L0045</t>
  </si>
  <si>
    <t>L0046</t>
  </si>
  <si>
    <t>L0047</t>
  </si>
  <si>
    <t>L0048</t>
  </si>
  <si>
    <t>L0049</t>
  </si>
  <si>
    <t>L0050</t>
  </si>
  <si>
    <t>L0051</t>
  </si>
  <si>
    <t>L0052</t>
  </si>
  <si>
    <t>L0053</t>
  </si>
  <si>
    <t>L0054</t>
  </si>
  <si>
    <t>L0055</t>
  </si>
  <si>
    <t>L0056</t>
  </si>
  <si>
    <t>L0057</t>
  </si>
  <si>
    <t>L0058</t>
  </si>
  <si>
    <t>L0059</t>
  </si>
  <si>
    <t>L0060</t>
  </si>
  <si>
    <t>L0061</t>
  </si>
  <si>
    <t>L0062</t>
  </si>
  <si>
    <t>L0063</t>
  </si>
  <si>
    <t>L0064</t>
  </si>
  <si>
    <t>L0065</t>
  </si>
  <si>
    <t>L0066</t>
  </si>
  <si>
    <t>L0067</t>
  </si>
  <si>
    <t>L0068</t>
  </si>
  <si>
    <t>L0069</t>
  </si>
  <si>
    <t>L0070</t>
  </si>
  <si>
    <t>L0071</t>
  </si>
  <si>
    <t>L0072</t>
  </si>
  <si>
    <t>L0073</t>
  </si>
  <si>
    <t>L0074</t>
  </si>
  <si>
    <t>L0075</t>
  </si>
  <si>
    <t>L0076</t>
  </si>
  <si>
    <t>L0077</t>
  </si>
  <si>
    <t>L0078</t>
  </si>
  <si>
    <t>L0079</t>
  </si>
  <si>
    <t>L0080</t>
  </si>
  <si>
    <t>L0081</t>
  </si>
  <si>
    <t>L0082</t>
  </si>
  <si>
    <t>L0083</t>
  </si>
  <si>
    <t>L0084</t>
  </si>
  <si>
    <t>L0085</t>
  </si>
  <si>
    <t>L0086</t>
  </si>
  <si>
    <t>L0087</t>
  </si>
  <si>
    <t>L0088</t>
  </si>
  <si>
    <t>L0089</t>
  </si>
  <si>
    <t>L0090</t>
  </si>
  <si>
    <t>L0091</t>
  </si>
  <si>
    <t>L0092</t>
  </si>
  <si>
    <t>L0093</t>
  </si>
  <si>
    <t>L0094</t>
  </si>
  <si>
    <t>L0095</t>
  </si>
  <si>
    <t>L0096</t>
  </si>
  <si>
    <t>L0097</t>
  </si>
  <si>
    <t>L0098</t>
  </si>
  <si>
    <t>L0099</t>
  </si>
  <si>
    <t>L0100</t>
  </si>
  <si>
    <t>L0101</t>
  </si>
  <si>
    <t>L0102</t>
  </si>
  <si>
    <t>L0103</t>
  </si>
  <si>
    <t>L0104</t>
  </si>
  <si>
    <t>L0105</t>
  </si>
  <si>
    <t>L0106</t>
  </si>
  <si>
    <t>L0107</t>
  </si>
  <si>
    <t>L0108</t>
  </si>
  <si>
    <t>L0109</t>
  </si>
  <si>
    <t>L0110</t>
  </si>
  <si>
    <t>L0111</t>
  </si>
  <si>
    <t>L0112</t>
  </si>
  <si>
    <t>L0113</t>
  </si>
  <si>
    <t>L0114</t>
  </si>
  <si>
    <t>L0115</t>
  </si>
  <si>
    <t>L0116</t>
  </si>
  <si>
    <t>L0117</t>
  </si>
  <si>
    <t>L0118</t>
  </si>
  <si>
    <t>L0119</t>
  </si>
  <si>
    <t>L0120</t>
  </si>
  <si>
    <t>L0121</t>
  </si>
  <si>
    <t>L0122</t>
  </si>
  <si>
    <t>L0123</t>
  </si>
  <si>
    <t>L0124</t>
  </si>
  <si>
    <t>L0125</t>
  </si>
  <si>
    <t>L0126</t>
  </si>
  <si>
    <t>L0127</t>
  </si>
  <si>
    <t>L0128</t>
  </si>
  <si>
    <t>L0129</t>
  </si>
  <si>
    <t>L0130</t>
  </si>
  <si>
    <t>L0131</t>
  </si>
  <si>
    <t>L0132</t>
  </si>
  <si>
    <t>L0133</t>
  </si>
  <si>
    <t>L0134</t>
  </si>
  <si>
    <t>L0135</t>
  </si>
  <si>
    <t>L0136</t>
  </si>
  <si>
    <t>L0137</t>
  </si>
  <si>
    <t>L0138</t>
  </si>
  <si>
    <t>L0139</t>
  </si>
  <si>
    <t>L0140</t>
  </si>
  <si>
    <t>L0141</t>
  </si>
  <si>
    <t>L0142</t>
  </si>
  <si>
    <t>L0143</t>
  </si>
  <si>
    <t>L0144</t>
  </si>
  <si>
    <t>L0145</t>
  </si>
  <si>
    <t>L0146</t>
  </si>
  <si>
    <t>L0147</t>
  </si>
  <si>
    <t>L0148</t>
  </si>
  <si>
    <t>L0149</t>
  </si>
  <si>
    <t>L0150</t>
  </si>
  <si>
    <t>L0151</t>
  </si>
  <si>
    <t>L0152</t>
  </si>
  <si>
    <t>L0153</t>
  </si>
  <si>
    <t>L0154</t>
  </si>
  <si>
    <t>L0155</t>
  </si>
  <si>
    <t>L0156</t>
  </si>
  <si>
    <t>L0157</t>
  </si>
  <si>
    <t>L0158</t>
  </si>
  <si>
    <t>L0159</t>
  </si>
  <si>
    <t>L0160</t>
  </si>
  <si>
    <t>L0161</t>
  </si>
  <si>
    <t>L0162</t>
  </si>
  <si>
    <t>L0163</t>
  </si>
  <si>
    <t>L0164</t>
  </si>
  <si>
    <t>L0165</t>
  </si>
  <si>
    <t>L0166</t>
  </si>
  <si>
    <t>L0167</t>
  </si>
  <si>
    <t>L0168</t>
  </si>
  <si>
    <t>L0169</t>
  </si>
  <si>
    <t>L0170</t>
  </si>
  <si>
    <t>L0171</t>
  </si>
  <si>
    <t>L0172</t>
  </si>
  <si>
    <t>L0173</t>
  </si>
  <si>
    <t>L0174</t>
  </si>
  <si>
    <t>L0175</t>
  </si>
  <si>
    <t>L0176</t>
  </si>
  <si>
    <t>L0177</t>
  </si>
  <si>
    <t>L0178</t>
  </si>
  <si>
    <t>L0179</t>
  </si>
  <si>
    <t>L0180</t>
  </si>
  <si>
    <t>L0181</t>
  </si>
  <si>
    <t>L0182</t>
  </si>
  <si>
    <t>L0183</t>
  </si>
  <si>
    <t>L0184</t>
  </si>
  <si>
    <t>L0185</t>
  </si>
  <si>
    <t>L0186</t>
  </si>
  <si>
    <t>L0187</t>
  </si>
  <si>
    <t>L0188</t>
  </si>
  <si>
    <t>L0189</t>
  </si>
  <si>
    <t>L0190</t>
  </si>
  <si>
    <t>L0191</t>
  </si>
  <si>
    <t>L0192</t>
  </si>
  <si>
    <t>L0193</t>
  </si>
  <si>
    <t>L0194</t>
  </si>
  <si>
    <t>L0195</t>
  </si>
  <si>
    <t>L0196</t>
  </si>
  <si>
    <t>L0197</t>
  </si>
  <si>
    <t>L0198</t>
  </si>
  <si>
    <t>L0199</t>
  </si>
  <si>
    <t>L0200</t>
  </si>
  <si>
    <t>L0201</t>
  </si>
  <si>
    <t>L0202</t>
  </si>
  <si>
    <t>L0203</t>
  </si>
  <si>
    <t>L0204</t>
  </si>
  <si>
    <t>L0205</t>
  </si>
  <si>
    <t>L0206</t>
  </si>
  <si>
    <t>L0207</t>
  </si>
  <si>
    <t>L0208</t>
  </si>
  <si>
    <t>L0209</t>
  </si>
  <si>
    <t>L0210</t>
  </si>
  <si>
    <t>L0211</t>
  </si>
  <si>
    <t>L0212</t>
  </si>
  <si>
    <t>L0213</t>
  </si>
  <si>
    <t>L0214</t>
  </si>
  <si>
    <t>L0215</t>
  </si>
  <si>
    <t>L0216</t>
  </si>
  <si>
    <t>L0217</t>
  </si>
  <si>
    <t>L0218</t>
  </si>
  <si>
    <t>L0219</t>
  </si>
  <si>
    <t>L0220</t>
  </si>
  <si>
    <t>L0221</t>
  </si>
  <si>
    <t>L0222</t>
  </si>
  <si>
    <t>L0223</t>
  </si>
  <si>
    <t>L0224</t>
  </si>
  <si>
    <t>L0225</t>
  </si>
  <si>
    <t>L0226</t>
  </si>
  <si>
    <t>L0227</t>
  </si>
  <si>
    <t>L0228</t>
  </si>
  <si>
    <t>L0229</t>
  </si>
  <si>
    <t>L0230</t>
  </si>
  <si>
    <t>L0231</t>
  </si>
  <si>
    <t>L0232</t>
  </si>
  <si>
    <t>L0233</t>
  </si>
  <si>
    <t>L0234</t>
  </si>
  <si>
    <t>L0235</t>
  </si>
  <si>
    <t>L0236</t>
  </si>
  <si>
    <t>L0237</t>
  </si>
  <si>
    <t>L0238</t>
  </si>
  <si>
    <t>L0239</t>
  </si>
  <si>
    <t>L0240</t>
  </si>
  <si>
    <t>L0241</t>
  </si>
  <si>
    <t>L0242</t>
  </si>
  <si>
    <t>L0243</t>
  </si>
  <si>
    <t>L0244</t>
  </si>
  <si>
    <t>L0245</t>
  </si>
  <si>
    <t>L0246</t>
  </si>
  <si>
    <t>L0247</t>
  </si>
  <si>
    <t>L0248</t>
  </si>
  <si>
    <t>L0249</t>
  </si>
  <si>
    <t>L0250</t>
  </si>
  <si>
    <t>L0251</t>
  </si>
  <si>
    <t>L0252</t>
  </si>
  <si>
    <t>L0253</t>
  </si>
  <si>
    <t>L0254</t>
  </si>
  <si>
    <t>L0255</t>
  </si>
  <si>
    <t>L0256</t>
  </si>
  <si>
    <t>L0257</t>
  </si>
  <si>
    <t>L0258</t>
  </si>
  <si>
    <t>L0259</t>
  </si>
  <si>
    <t>L0260</t>
  </si>
  <si>
    <t>L0261</t>
  </si>
  <si>
    <t>L0262</t>
  </si>
  <si>
    <t>L0263</t>
  </si>
  <si>
    <t>L0264</t>
  </si>
  <si>
    <t>L0265</t>
  </si>
  <si>
    <t>L0266</t>
  </si>
  <si>
    <t>L0267</t>
  </si>
  <si>
    <t>L0268</t>
  </si>
  <si>
    <t>L0269</t>
  </si>
  <si>
    <t>L0270</t>
  </si>
  <si>
    <t>L0271</t>
  </si>
  <si>
    <t>L0272</t>
  </si>
  <si>
    <t>L0273</t>
  </si>
  <si>
    <t>L0274</t>
  </si>
  <si>
    <t>L0275</t>
  </si>
  <si>
    <t>L0276</t>
  </si>
  <si>
    <t>L0277</t>
  </si>
  <si>
    <t>L0278</t>
  </si>
  <si>
    <t>L0279</t>
  </si>
  <si>
    <t>L0280</t>
  </si>
  <si>
    <t>L0281</t>
  </si>
  <si>
    <t>L0282</t>
  </si>
  <si>
    <t>L0283</t>
  </si>
  <si>
    <t>L0284</t>
  </si>
  <si>
    <t>L0285</t>
  </si>
  <si>
    <t>L0286</t>
  </si>
  <si>
    <t>L0287</t>
  </si>
  <si>
    <t>L0288</t>
  </si>
  <si>
    <t>L0289</t>
  </si>
  <si>
    <t>L0290</t>
  </si>
  <si>
    <t>L0291</t>
  </si>
  <si>
    <t>L0292</t>
  </si>
  <si>
    <t>L0293</t>
  </si>
  <si>
    <t>L0294</t>
  </si>
  <si>
    <t>L0295</t>
  </si>
  <si>
    <t>L0296</t>
  </si>
  <si>
    <t>L0297</t>
  </si>
  <si>
    <t>L0298</t>
  </si>
  <si>
    <t>L0299</t>
  </si>
  <si>
    <t>L0300</t>
  </si>
  <si>
    <t>L0301</t>
  </si>
  <si>
    <t>L0302</t>
  </si>
  <si>
    <t>L0303</t>
  </si>
  <si>
    <t>L0304</t>
  </si>
  <si>
    <t>L0305</t>
  </si>
  <si>
    <t>L0306</t>
  </si>
  <si>
    <t>L0307</t>
  </si>
  <si>
    <t>L0308</t>
  </si>
  <si>
    <t>L0309</t>
  </si>
  <si>
    <t>L0310</t>
  </si>
  <si>
    <t>L0311</t>
  </si>
  <si>
    <t>L0312</t>
  </si>
  <si>
    <t>L0313</t>
  </si>
  <si>
    <t>L0314</t>
  </si>
  <si>
    <t>L0315</t>
  </si>
  <si>
    <t>L0316</t>
  </si>
  <si>
    <t>L0317</t>
  </si>
  <si>
    <t>L0318</t>
  </si>
  <si>
    <t>L0319</t>
  </si>
  <si>
    <t>L0320</t>
  </si>
  <si>
    <t>L0321</t>
  </si>
  <si>
    <t>L0322</t>
  </si>
  <si>
    <t>L0323</t>
  </si>
  <si>
    <t>L0324</t>
  </si>
  <si>
    <t>L0325</t>
  </si>
  <si>
    <t>L0326</t>
  </si>
  <si>
    <t>L0327</t>
  </si>
  <si>
    <t>L0328</t>
  </si>
  <si>
    <t>L0329</t>
  </si>
  <si>
    <t>L0330</t>
  </si>
  <si>
    <t>L0331</t>
  </si>
  <si>
    <t>L0332</t>
  </si>
  <si>
    <t>L0333</t>
  </si>
  <si>
    <t>L0334</t>
  </si>
  <si>
    <t>L0335</t>
  </si>
  <si>
    <t>L0336</t>
  </si>
  <si>
    <t>L0337</t>
  </si>
  <si>
    <t>L0338</t>
  </si>
  <si>
    <t>L0339</t>
  </si>
  <si>
    <t>L0340</t>
  </si>
  <si>
    <t>L0341</t>
  </si>
  <si>
    <t>L0342</t>
  </si>
  <si>
    <t>L0343</t>
  </si>
  <si>
    <t>L0344</t>
  </si>
  <si>
    <t>L0345</t>
  </si>
  <si>
    <t>L0346</t>
  </si>
  <si>
    <t>L0347</t>
  </si>
  <si>
    <t>L0348</t>
  </si>
  <si>
    <t>L0349</t>
  </si>
  <si>
    <t>L0350</t>
  </si>
  <si>
    <t>L0351</t>
  </si>
  <si>
    <t>L0352</t>
  </si>
  <si>
    <t>L0353</t>
  </si>
  <si>
    <t>L0354</t>
  </si>
  <si>
    <t>L0355</t>
  </si>
  <si>
    <t>L0356</t>
  </si>
  <si>
    <t>L0357</t>
  </si>
  <si>
    <t>L0358</t>
  </si>
  <si>
    <t>L0359</t>
  </si>
  <si>
    <t>L0360</t>
  </si>
  <si>
    <t>L0361</t>
  </si>
  <si>
    <t>L0362</t>
  </si>
  <si>
    <t>L0363</t>
  </si>
  <si>
    <t>L0364</t>
  </si>
  <si>
    <t>L0365</t>
  </si>
  <si>
    <t>L0366</t>
  </si>
  <si>
    <t>L0367</t>
  </si>
  <si>
    <t>L0368</t>
  </si>
  <si>
    <t>L0369</t>
  </si>
  <si>
    <t>L0370</t>
  </si>
  <si>
    <t>L0371</t>
  </si>
  <si>
    <t>L0372</t>
  </si>
  <si>
    <t>L0373</t>
  </si>
  <si>
    <t>L0374</t>
  </si>
  <si>
    <t>L0375</t>
  </si>
  <si>
    <t>L0376</t>
  </si>
  <si>
    <t>L0377</t>
  </si>
  <si>
    <t>L0378</t>
  </si>
  <si>
    <t>L0379</t>
  </si>
  <si>
    <t>L0380</t>
  </si>
  <si>
    <t>L0381</t>
  </si>
  <si>
    <t>L0382</t>
  </si>
  <si>
    <t>L0383</t>
  </si>
  <si>
    <t>L0384</t>
  </si>
  <si>
    <t>L0385</t>
  </si>
  <si>
    <t>L0386</t>
  </si>
  <si>
    <t>L0387</t>
  </si>
  <si>
    <t>L0388</t>
  </si>
  <si>
    <t>L0389</t>
  </si>
  <si>
    <t>L0390</t>
  </si>
  <si>
    <t>L0391</t>
  </si>
  <si>
    <t>L0392</t>
  </si>
  <si>
    <t>L0393</t>
  </si>
  <si>
    <t>L0394</t>
  </si>
  <si>
    <t>L0395</t>
  </si>
  <si>
    <t>L0396</t>
  </si>
  <si>
    <t>L0397</t>
  </si>
  <si>
    <t>L0398</t>
  </si>
  <si>
    <t>L0399</t>
  </si>
  <si>
    <t>L0400</t>
  </si>
  <si>
    <t>L0401</t>
  </si>
  <si>
    <t>L0402</t>
  </si>
  <si>
    <t>L0403</t>
  </si>
  <si>
    <t>L0404</t>
  </si>
  <si>
    <t>L0405</t>
  </si>
  <si>
    <t>L0406</t>
  </si>
  <si>
    <t>L0407</t>
  </si>
  <si>
    <t>L0408</t>
  </si>
  <si>
    <t>L0409</t>
  </si>
  <si>
    <t>L0410</t>
  </si>
  <si>
    <t>L0411</t>
  </si>
  <si>
    <t>L0412</t>
  </si>
  <si>
    <t>L0413</t>
  </si>
  <si>
    <t>L0414</t>
  </si>
  <si>
    <t>L0415</t>
  </si>
  <si>
    <t>L0416</t>
  </si>
  <si>
    <t>L0417</t>
  </si>
  <si>
    <t>L0418</t>
  </si>
  <si>
    <t>L0419</t>
  </si>
  <si>
    <t>L0420</t>
  </si>
  <si>
    <t>L0421</t>
  </si>
  <si>
    <t>L0422</t>
  </si>
  <si>
    <t>L0423</t>
  </si>
  <si>
    <t>L0424</t>
  </si>
  <si>
    <t>L0425</t>
  </si>
  <si>
    <t>L0426</t>
  </si>
  <si>
    <t>L0427</t>
  </si>
  <si>
    <t>L0428</t>
  </si>
  <si>
    <t>L0429</t>
  </si>
  <si>
    <t>L0430</t>
  </si>
  <si>
    <t>L0431</t>
  </si>
  <si>
    <t>L0432</t>
  </si>
  <si>
    <t>L0433</t>
  </si>
  <si>
    <t>L0434</t>
  </si>
  <si>
    <t>L0435</t>
  </si>
  <si>
    <t>L0436</t>
  </si>
  <si>
    <t>L0437</t>
  </si>
  <si>
    <t>L0438</t>
  </si>
  <si>
    <t>L0439</t>
  </si>
  <si>
    <t>L0440</t>
  </si>
  <si>
    <t>L0441</t>
  </si>
  <si>
    <t>L0442</t>
  </si>
  <si>
    <t>L0443</t>
  </si>
  <si>
    <t>L0444</t>
  </si>
  <si>
    <t>L0445</t>
  </si>
  <si>
    <t>L0446</t>
  </si>
  <si>
    <t>L0447</t>
  </si>
  <si>
    <t>L0448</t>
  </si>
  <si>
    <t>L0449</t>
  </si>
  <si>
    <t>L0450</t>
  </si>
  <si>
    <t>L0451</t>
  </si>
  <si>
    <t>L0452</t>
  </si>
  <si>
    <t>L0453</t>
  </si>
  <si>
    <t>L0454</t>
  </si>
  <si>
    <t>L0455</t>
  </si>
  <si>
    <t>L0456</t>
  </si>
  <si>
    <t>L0457</t>
  </si>
  <si>
    <t>L0458</t>
  </si>
  <si>
    <t>L0459</t>
  </si>
  <si>
    <t>L0460</t>
  </si>
  <si>
    <t>L0461</t>
  </si>
  <si>
    <t>L0462</t>
  </si>
  <si>
    <t>L0463</t>
  </si>
  <si>
    <t>L0464</t>
  </si>
  <si>
    <t>L0465</t>
  </si>
  <si>
    <t>L0466</t>
  </si>
  <si>
    <t>L0467</t>
  </si>
  <si>
    <t>L0468</t>
  </si>
  <si>
    <t>L0469</t>
  </si>
  <si>
    <t>L0470</t>
  </si>
  <si>
    <t>L0471</t>
  </si>
  <si>
    <t>L0472</t>
  </si>
  <si>
    <t>L0473</t>
  </si>
  <si>
    <t>L0474</t>
  </si>
  <si>
    <t>L0475</t>
  </si>
  <si>
    <t>L0476</t>
  </si>
  <si>
    <t>L0477</t>
  </si>
  <si>
    <t>L0478</t>
  </si>
  <si>
    <t>L0479</t>
  </si>
  <si>
    <t>L0480</t>
  </si>
  <si>
    <t>L0481</t>
  </si>
  <si>
    <t>L0482</t>
  </si>
  <si>
    <t>L0483</t>
  </si>
  <si>
    <t>L0484</t>
  </si>
  <si>
    <t>L0485</t>
  </si>
  <si>
    <t>L0486</t>
  </si>
  <si>
    <t>L0487</t>
  </si>
  <si>
    <t>L0488</t>
  </si>
  <si>
    <t>L0489</t>
  </si>
  <si>
    <t>L0490</t>
  </si>
  <si>
    <t>L0491</t>
  </si>
  <si>
    <t>L0492</t>
  </si>
  <si>
    <t>L0493</t>
  </si>
  <si>
    <t>L0494</t>
  </si>
  <si>
    <t>L0495</t>
  </si>
  <si>
    <t>L0496</t>
  </si>
  <si>
    <t>L0497</t>
  </si>
  <si>
    <t>L0498</t>
  </si>
  <si>
    <t>L0499</t>
  </si>
  <si>
    <t>L0500</t>
  </si>
  <si>
    <t>L0501</t>
  </si>
  <si>
    <t>L0502</t>
  </si>
  <si>
    <t>L0503</t>
  </si>
  <si>
    <t>L0504</t>
  </si>
  <si>
    <t>L0505</t>
  </si>
  <si>
    <t>L0506</t>
  </si>
  <si>
    <t>L0507</t>
  </si>
  <si>
    <t>L0508</t>
  </si>
  <si>
    <t>L0509</t>
  </si>
  <si>
    <t>L0510</t>
  </si>
  <si>
    <t>L0511</t>
  </si>
  <si>
    <t>L0512</t>
  </si>
  <si>
    <t>L0513</t>
  </si>
  <si>
    <t>L0514</t>
  </si>
  <si>
    <t>L0515</t>
  </si>
  <si>
    <t>L0516</t>
  </si>
  <si>
    <t>L0517</t>
  </si>
  <si>
    <t>L0518</t>
  </si>
  <si>
    <t>L0519</t>
  </si>
  <si>
    <t>L0520</t>
  </si>
  <si>
    <t>L0521</t>
  </si>
  <si>
    <t>L0522</t>
  </si>
  <si>
    <t>L0523</t>
  </si>
  <si>
    <t>L0524</t>
  </si>
  <si>
    <t>L0525</t>
  </si>
  <si>
    <t>L0526</t>
  </si>
  <si>
    <t>L0527</t>
  </si>
  <si>
    <t>L0528</t>
  </si>
  <si>
    <t>L0529</t>
  </si>
  <si>
    <t>L0530</t>
  </si>
  <si>
    <t>L0531</t>
  </si>
  <si>
    <t>L0532</t>
  </si>
  <si>
    <t>L0533</t>
  </si>
  <si>
    <t>L0534</t>
  </si>
  <si>
    <t>L0535</t>
  </si>
  <si>
    <t>L0536</t>
  </si>
  <si>
    <t>L0537</t>
  </si>
  <si>
    <t>L0538</t>
  </si>
  <si>
    <t>L0539</t>
  </si>
  <si>
    <t>L0540</t>
  </si>
  <si>
    <t>L0541</t>
  </si>
  <si>
    <t>L0542</t>
  </si>
  <si>
    <t>L0543</t>
  </si>
  <si>
    <t>L0544</t>
  </si>
  <si>
    <t>L0545</t>
  </si>
  <si>
    <t>L0546</t>
  </si>
  <si>
    <t>L0547</t>
  </si>
  <si>
    <t>L0548</t>
  </si>
  <si>
    <t>L0549</t>
  </si>
  <si>
    <t>L0550</t>
  </si>
  <si>
    <t>L0551</t>
  </si>
  <si>
    <t>L0552</t>
  </si>
  <si>
    <t>L0553</t>
  </si>
  <si>
    <t>L0554</t>
  </si>
  <si>
    <t>L0555</t>
  </si>
  <si>
    <t>L0556</t>
  </si>
  <si>
    <t>L0557</t>
  </si>
  <si>
    <t>L0558</t>
  </si>
  <si>
    <t>L0559</t>
  </si>
  <si>
    <t>L0560</t>
  </si>
  <si>
    <t>L0561</t>
  </si>
  <si>
    <t>L0562</t>
  </si>
  <si>
    <t>L0563</t>
  </si>
  <si>
    <t>L0564</t>
  </si>
  <si>
    <t>L0565</t>
  </si>
  <si>
    <t>L0566</t>
  </si>
  <si>
    <t>L0567</t>
  </si>
  <si>
    <t>L0568</t>
  </si>
  <si>
    <t>L0569</t>
  </si>
  <si>
    <t>L0570</t>
  </si>
  <si>
    <t>L0571</t>
  </si>
  <si>
    <t>L0572</t>
  </si>
  <si>
    <t>L0573</t>
  </si>
  <si>
    <t>L0574</t>
  </si>
  <si>
    <t>L0575</t>
  </si>
  <si>
    <t>L0576</t>
  </si>
  <si>
    <t>L0577</t>
  </si>
  <si>
    <t>L0578</t>
  </si>
  <si>
    <t>L0579</t>
  </si>
  <si>
    <t>L0580</t>
  </si>
  <si>
    <t>L0581</t>
  </si>
  <si>
    <t>L0582</t>
  </si>
  <si>
    <t>L0583</t>
  </si>
  <si>
    <t>L0584</t>
  </si>
  <si>
    <t>L0585</t>
  </si>
  <si>
    <t>L0586</t>
  </si>
  <si>
    <t>L0587</t>
  </si>
  <si>
    <t>L0588</t>
  </si>
  <si>
    <t>L0589</t>
  </si>
  <si>
    <t>L0590</t>
  </si>
  <si>
    <t>L0591</t>
  </si>
  <si>
    <t>L0592</t>
  </si>
  <si>
    <t>L0593</t>
  </si>
  <si>
    <t>L0594</t>
  </si>
  <si>
    <t>L0595</t>
  </si>
  <si>
    <t>L0596</t>
  </si>
  <si>
    <t>L0597</t>
  </si>
  <si>
    <t>L0598</t>
  </si>
  <si>
    <t>L0599</t>
  </si>
  <si>
    <t>L0600</t>
  </si>
  <si>
    <t>L0601</t>
  </si>
  <si>
    <t>L0602</t>
  </si>
  <si>
    <t>L0603</t>
  </si>
  <si>
    <t>L0604</t>
  </si>
  <si>
    <t>L0605</t>
  </si>
  <si>
    <t>L0606</t>
  </si>
  <si>
    <t>L0607</t>
  </si>
  <si>
    <t>L0608</t>
  </si>
  <si>
    <t>L0609</t>
  </si>
  <si>
    <t>L0610</t>
  </si>
  <si>
    <t>L0611</t>
  </si>
  <si>
    <t>L0612</t>
  </si>
  <si>
    <t>L0613</t>
  </si>
  <si>
    <t>L0614</t>
  </si>
  <si>
    <t>L0615</t>
  </si>
  <si>
    <t>L0616</t>
  </si>
  <si>
    <t>L0617</t>
  </si>
  <si>
    <t>L0618</t>
  </si>
  <si>
    <t>L0619</t>
  </si>
  <si>
    <t>L0620</t>
  </si>
  <si>
    <t>L0621</t>
  </si>
  <si>
    <t>L0622</t>
  </si>
  <si>
    <t>L0623</t>
  </si>
  <si>
    <t>L0624</t>
  </si>
  <si>
    <t>L0625</t>
  </si>
  <si>
    <t>L0626</t>
  </si>
  <si>
    <t>L0627</t>
  </si>
  <si>
    <t>L0628</t>
  </si>
  <si>
    <t>L0629</t>
  </si>
  <si>
    <t>L0630</t>
  </si>
  <si>
    <t>L0631</t>
  </si>
  <si>
    <t>L0632</t>
  </si>
  <si>
    <t>L0633</t>
  </si>
  <si>
    <t>L0634</t>
  </si>
  <si>
    <t>L0635</t>
  </si>
  <si>
    <t>L0636</t>
  </si>
  <si>
    <t>L0637</t>
  </si>
  <si>
    <t>L0638</t>
  </si>
  <si>
    <t>L0639</t>
  </si>
  <si>
    <t>L0640</t>
  </si>
  <si>
    <t>L0641</t>
  </si>
  <si>
    <t>L0642</t>
  </si>
  <si>
    <t>L0643</t>
  </si>
  <si>
    <t>L0644</t>
  </si>
  <si>
    <t>L0645</t>
  </si>
  <si>
    <t>L0646</t>
  </si>
  <si>
    <t>L0647</t>
  </si>
  <si>
    <t>L0648</t>
  </si>
  <si>
    <t>L0649</t>
  </si>
  <si>
    <t>L0650</t>
  </si>
  <si>
    <t>L0651</t>
  </si>
  <si>
    <t>L0652</t>
  </si>
  <si>
    <t>L0653</t>
  </si>
  <si>
    <t>L0654</t>
  </si>
  <si>
    <t>L0655</t>
  </si>
  <si>
    <t>L0656</t>
  </si>
  <si>
    <t>L0657</t>
  </si>
  <si>
    <t>L0658</t>
  </si>
  <si>
    <t>L0659</t>
  </si>
  <si>
    <t>L0660</t>
  </si>
  <si>
    <t>L0661</t>
  </si>
  <si>
    <t>L0662</t>
  </si>
  <si>
    <t>L0663</t>
  </si>
  <si>
    <t>L0664</t>
  </si>
  <si>
    <t>L0665</t>
  </si>
  <si>
    <t>L0666</t>
  </si>
  <si>
    <t>L0667</t>
  </si>
  <si>
    <t>L0668</t>
  </si>
  <si>
    <t>L0669</t>
  </si>
  <si>
    <t>L0670</t>
  </si>
  <si>
    <t>L0671</t>
  </si>
  <si>
    <t>L0672</t>
  </si>
  <si>
    <t>L0673</t>
  </si>
  <si>
    <t>L0674</t>
  </si>
  <si>
    <t>L0675</t>
  </si>
  <si>
    <t>L0676</t>
  </si>
  <si>
    <t>L0677</t>
  </si>
  <si>
    <t>L0678</t>
  </si>
  <si>
    <t>L0679</t>
  </si>
  <si>
    <t>L0680</t>
  </si>
  <si>
    <t>L0681</t>
  </si>
  <si>
    <t>L0682</t>
  </si>
  <si>
    <t>L0683</t>
  </si>
  <si>
    <t>L0684</t>
  </si>
  <si>
    <t>L0685</t>
  </si>
  <si>
    <t>L0686</t>
  </si>
  <si>
    <t>L0687</t>
  </si>
  <si>
    <t>L0688</t>
  </si>
  <si>
    <t>L0689</t>
  </si>
  <si>
    <t>L0690</t>
  </si>
  <si>
    <t>L0691</t>
  </si>
  <si>
    <t>L0692</t>
  </si>
  <si>
    <t>L0693</t>
  </si>
  <si>
    <t>L0694</t>
  </si>
  <si>
    <t>L0695</t>
  </si>
  <si>
    <t>L0696</t>
  </si>
  <si>
    <t>L0697</t>
  </si>
  <si>
    <t>L0698</t>
  </si>
  <si>
    <t>L0699</t>
  </si>
  <si>
    <t>L0700</t>
  </si>
  <si>
    <t>L0701</t>
  </si>
  <si>
    <t>L0702</t>
  </si>
  <si>
    <t>L0703</t>
  </si>
  <si>
    <t>L0704</t>
  </si>
  <si>
    <t>L0705</t>
  </si>
  <si>
    <t>L0706</t>
  </si>
  <si>
    <t>L0707</t>
  </si>
  <si>
    <t>L0708</t>
  </si>
  <si>
    <t>L0709</t>
  </si>
  <si>
    <t>L0710</t>
  </si>
  <si>
    <t>L0711</t>
  </si>
  <si>
    <t>L0712</t>
  </si>
  <si>
    <t>L0713</t>
  </si>
  <si>
    <t>L0714</t>
  </si>
  <si>
    <t>L0715</t>
  </si>
  <si>
    <t>L0716</t>
  </si>
  <si>
    <t>L0717</t>
  </si>
  <si>
    <t>L0718</t>
  </si>
  <si>
    <t>L0719</t>
  </si>
  <si>
    <t>L0720</t>
  </si>
  <si>
    <t>L0721</t>
  </si>
  <si>
    <t>L0722</t>
  </si>
  <si>
    <t>L0723</t>
  </si>
  <si>
    <t>L0724</t>
  </si>
  <si>
    <t>L0725</t>
  </si>
  <si>
    <t>L0726</t>
  </si>
  <si>
    <t>L0727</t>
  </si>
  <si>
    <t>L0728</t>
  </si>
  <si>
    <t>L0729</t>
  </si>
  <si>
    <t>L0730</t>
  </si>
  <si>
    <t>L0731</t>
  </si>
  <si>
    <t>L0732</t>
  </si>
  <si>
    <t>L0733</t>
  </si>
  <si>
    <t>L0734</t>
  </si>
  <si>
    <t>L0735</t>
  </si>
  <si>
    <t>L0736</t>
  </si>
  <si>
    <t>L0737</t>
  </si>
  <si>
    <t>L0738</t>
  </si>
  <si>
    <t>L0739</t>
  </si>
  <si>
    <t>L0740</t>
  </si>
  <si>
    <t>L0741</t>
  </si>
  <si>
    <t>L0742</t>
  </si>
  <si>
    <t>L0743</t>
  </si>
  <si>
    <t>L0744</t>
  </si>
  <si>
    <t>L0745</t>
  </si>
  <si>
    <t>L0746</t>
  </si>
  <si>
    <t>L0747</t>
  </si>
  <si>
    <t>L0748</t>
  </si>
  <si>
    <t>L0749</t>
  </si>
  <si>
    <t>L0750</t>
  </si>
  <si>
    <t>L0751</t>
  </si>
  <si>
    <t>L0752</t>
  </si>
  <si>
    <t>L0753</t>
  </si>
  <si>
    <t>L0754</t>
  </si>
  <si>
    <t>L0755</t>
  </si>
  <si>
    <t>L0756</t>
  </si>
  <si>
    <t>L0757</t>
  </si>
  <si>
    <t>L0758</t>
  </si>
  <si>
    <t>L0759</t>
  </si>
  <si>
    <t>L0760</t>
  </si>
  <si>
    <t>L0761</t>
  </si>
  <si>
    <t>L0762</t>
  </si>
  <si>
    <t>L0763</t>
  </si>
  <si>
    <t>L0764</t>
  </si>
  <si>
    <t>L0765</t>
  </si>
  <si>
    <t>L0766</t>
  </si>
  <si>
    <t>L0767</t>
  </si>
  <si>
    <t>L0768</t>
  </si>
  <si>
    <t>L0769</t>
  </si>
  <si>
    <t>L0770</t>
  </si>
  <si>
    <t>L0771</t>
  </si>
  <si>
    <t>L0772</t>
  </si>
  <si>
    <t>L0773</t>
  </si>
  <si>
    <t>L0774</t>
  </si>
  <si>
    <t>L0775</t>
  </si>
  <si>
    <t>L0776</t>
  </si>
  <si>
    <t>L0777</t>
  </si>
  <si>
    <t>L0778</t>
  </si>
  <si>
    <t>L0779</t>
  </si>
  <si>
    <t>L0780</t>
  </si>
  <si>
    <t>L0781</t>
  </si>
  <si>
    <t>L0782</t>
  </si>
  <si>
    <t>L0783</t>
  </si>
  <si>
    <t>L0784</t>
  </si>
  <si>
    <t>L0785</t>
  </si>
  <si>
    <t>L0786</t>
  </si>
  <si>
    <t>L0787</t>
  </si>
  <si>
    <t>L0788</t>
  </si>
  <si>
    <t>L0789</t>
  </si>
  <si>
    <t>L0790</t>
  </si>
  <si>
    <t>L0791</t>
  </si>
  <si>
    <t>L0792</t>
  </si>
  <si>
    <t>L0793</t>
  </si>
  <si>
    <t>L0794</t>
  </si>
  <si>
    <t>L0795</t>
  </si>
  <si>
    <t>L0796</t>
  </si>
  <si>
    <t>L0797</t>
  </si>
  <si>
    <t>L0798</t>
  </si>
  <si>
    <t>L0799</t>
  </si>
  <si>
    <t>L0800</t>
  </si>
  <si>
    <t>L0801</t>
  </si>
  <si>
    <t>L0802</t>
  </si>
  <si>
    <t>L0803</t>
  </si>
  <si>
    <t>L0804</t>
  </si>
  <si>
    <t>L0805</t>
  </si>
  <si>
    <t>L0806</t>
  </si>
  <si>
    <t>L0807</t>
  </si>
  <si>
    <t>L0808</t>
  </si>
  <si>
    <t>L0809</t>
  </si>
  <si>
    <t>L0810</t>
  </si>
  <si>
    <t>L0811</t>
  </si>
  <si>
    <t>L0812</t>
  </si>
  <si>
    <t>L0813</t>
  </si>
  <si>
    <t>L0814</t>
  </si>
  <si>
    <t>L0815</t>
  </si>
  <si>
    <t>L0816</t>
  </si>
  <si>
    <t>L0817</t>
  </si>
  <si>
    <t>L0818</t>
  </si>
  <si>
    <t>L0819</t>
  </si>
  <si>
    <t>L0820</t>
  </si>
  <si>
    <t>L0821</t>
  </si>
  <si>
    <t>L0822</t>
  </si>
  <si>
    <t>L0823</t>
  </si>
  <si>
    <t>L0824</t>
  </si>
  <si>
    <t>L0825</t>
  </si>
  <si>
    <t>L0826</t>
  </si>
  <si>
    <t>L0827</t>
  </si>
  <si>
    <t>L0828</t>
  </si>
  <si>
    <t>L0829</t>
  </si>
  <si>
    <t>L0830</t>
  </si>
  <si>
    <t>L0831</t>
  </si>
  <si>
    <t>L0832</t>
  </si>
  <si>
    <t>L0833</t>
  </si>
  <si>
    <t>L0834</t>
  </si>
  <si>
    <t>L0835</t>
  </si>
  <si>
    <t>L0836</t>
  </si>
  <si>
    <t>L0837</t>
  </si>
  <si>
    <t>L0838</t>
  </si>
  <si>
    <t>L0839</t>
  </si>
  <si>
    <t>L0840</t>
  </si>
  <si>
    <t>L0841</t>
  </si>
  <si>
    <t>L0842</t>
  </si>
  <si>
    <t>L0843</t>
  </si>
  <si>
    <t>L0844</t>
  </si>
  <si>
    <t>L0845</t>
  </si>
  <si>
    <t>L0846</t>
  </si>
  <si>
    <t>L0847</t>
  </si>
  <si>
    <t>L0848</t>
  </si>
  <si>
    <t>L0849</t>
  </si>
  <si>
    <t>L0850</t>
  </si>
  <si>
    <t>L0851</t>
  </si>
  <si>
    <t>L0852</t>
  </si>
  <si>
    <t>L0853</t>
  </si>
  <si>
    <t>L0854</t>
  </si>
  <si>
    <t>L0855</t>
  </si>
  <si>
    <t>L0856</t>
  </si>
  <si>
    <t>L0857</t>
  </si>
  <si>
    <t>L0858</t>
  </si>
  <si>
    <t>L0859</t>
  </si>
  <si>
    <t>L0860</t>
  </si>
  <si>
    <t>L0861</t>
  </si>
  <si>
    <t>L0862</t>
  </si>
  <si>
    <t>L0863</t>
  </si>
  <si>
    <t>L0864</t>
  </si>
  <si>
    <t>L0865</t>
  </si>
  <si>
    <t>L0866</t>
  </si>
  <si>
    <t>L0867</t>
  </si>
  <si>
    <t>L0868</t>
  </si>
  <si>
    <t>L0869</t>
  </si>
  <si>
    <t>L0870</t>
  </si>
  <si>
    <t>L0871</t>
  </si>
  <si>
    <t>L0872</t>
  </si>
  <si>
    <t>L0873</t>
  </si>
  <si>
    <t>L0874</t>
  </si>
  <si>
    <t>L0875</t>
  </si>
  <si>
    <t>L0876</t>
  </si>
  <si>
    <t>L0877</t>
  </si>
  <si>
    <t>L0878</t>
  </si>
  <si>
    <t>L0879</t>
  </si>
  <si>
    <t>L0880</t>
  </si>
  <si>
    <t>L0881</t>
  </si>
  <si>
    <t>L0882</t>
  </si>
  <si>
    <t>L0883</t>
  </si>
  <si>
    <t>L0884</t>
  </si>
  <si>
    <t>L0885</t>
  </si>
  <si>
    <t>L0886</t>
  </si>
  <si>
    <t>L0887</t>
  </si>
  <si>
    <t>L0888</t>
  </si>
  <si>
    <t>L0889</t>
  </si>
  <si>
    <t>L0890</t>
  </si>
  <si>
    <t>L0891</t>
  </si>
  <si>
    <t>L0892</t>
  </si>
  <si>
    <t>L0893</t>
  </si>
  <si>
    <t>L0894</t>
  </si>
  <si>
    <t>L0895</t>
  </si>
  <si>
    <t>L0896</t>
  </si>
  <si>
    <t>L0897</t>
  </si>
  <si>
    <t>L0898</t>
  </si>
  <si>
    <t>L0899</t>
  </si>
  <si>
    <t>L0900</t>
  </si>
  <si>
    <t>L0901</t>
  </si>
  <si>
    <t>L0902</t>
  </si>
  <si>
    <t>L0903</t>
  </si>
  <si>
    <t>L0904</t>
  </si>
  <si>
    <t>L0905</t>
  </si>
  <si>
    <t>L0906</t>
  </si>
  <si>
    <t>L0907</t>
  </si>
  <si>
    <t>L0908</t>
  </si>
  <si>
    <t>L0909</t>
  </si>
  <si>
    <t>L0910</t>
  </si>
  <si>
    <t>L0911</t>
  </si>
  <si>
    <t>L0912</t>
  </si>
  <si>
    <t>L0913</t>
  </si>
  <si>
    <t>L0914</t>
  </si>
  <si>
    <t>L0915</t>
  </si>
  <si>
    <t>L0916</t>
  </si>
  <si>
    <t>L0917</t>
  </si>
  <si>
    <t>L0918</t>
  </si>
  <si>
    <t>L0919</t>
  </si>
  <si>
    <t>L0920</t>
  </si>
  <si>
    <t>L0921</t>
  </si>
  <si>
    <t>L0922</t>
  </si>
  <si>
    <t>L0923</t>
  </si>
  <si>
    <t>L0924</t>
  </si>
  <si>
    <t>L0925</t>
  </si>
  <si>
    <t>L0926</t>
  </si>
  <si>
    <t>L0927</t>
  </si>
  <si>
    <t>L0928</t>
  </si>
  <si>
    <t>L0929</t>
  </si>
  <si>
    <t>L0930</t>
  </si>
  <si>
    <t>L0931</t>
  </si>
  <si>
    <t>L0932</t>
  </si>
  <si>
    <t>L0933</t>
  </si>
  <si>
    <t>L0934</t>
  </si>
  <si>
    <t>L0935</t>
  </si>
  <si>
    <t>L0936</t>
  </si>
  <si>
    <t>L0937</t>
  </si>
  <si>
    <t>L0938</t>
  </si>
  <si>
    <t>L0939</t>
  </si>
  <si>
    <t>L0940</t>
  </si>
  <si>
    <t>L0941</t>
  </si>
  <si>
    <t>L0942</t>
  </si>
  <si>
    <t>L0943</t>
  </si>
  <si>
    <t>L0944</t>
  </si>
  <si>
    <t>L0945</t>
  </si>
  <si>
    <t>L0946</t>
  </si>
  <si>
    <t>L0947</t>
  </si>
  <si>
    <t>L0948</t>
  </si>
  <si>
    <t>L0949</t>
  </si>
  <si>
    <t>L0950</t>
  </si>
  <si>
    <t>L0951</t>
  </si>
  <si>
    <t>L0952</t>
  </si>
  <si>
    <t>L0953</t>
  </si>
  <si>
    <t>L0954</t>
  </si>
  <si>
    <t>L0955</t>
  </si>
  <si>
    <t>L0956</t>
  </si>
  <si>
    <t>L0957</t>
  </si>
  <si>
    <t>L0958</t>
  </si>
  <si>
    <t>L0959</t>
  </si>
  <si>
    <t>L0960</t>
  </si>
  <si>
    <t>L0961</t>
  </si>
  <si>
    <t>L0962</t>
  </si>
  <si>
    <t>L0963</t>
  </si>
  <si>
    <t>L0964</t>
  </si>
  <si>
    <t>L0965</t>
  </si>
  <si>
    <t>L0966</t>
  </si>
  <si>
    <t>L0967</t>
  </si>
  <si>
    <t>L0968</t>
  </si>
  <si>
    <t>L0969</t>
  </si>
  <si>
    <t>L0970</t>
  </si>
  <si>
    <t>L0971</t>
  </si>
  <si>
    <t>L0972</t>
  </si>
  <si>
    <t>L0973</t>
  </si>
  <si>
    <t>L0974</t>
  </si>
  <si>
    <t>L0975</t>
  </si>
  <si>
    <t>L0976</t>
  </si>
  <si>
    <t>L0977</t>
  </si>
  <si>
    <t>L0978</t>
  </si>
  <si>
    <t>L0979</t>
  </si>
  <si>
    <t>L0980</t>
  </si>
  <si>
    <t>L0981</t>
  </si>
  <si>
    <t>L0982</t>
  </si>
  <si>
    <t>L0983</t>
  </si>
  <si>
    <t>L0984</t>
  </si>
  <si>
    <t>L0985</t>
  </si>
  <si>
    <t>L0986</t>
  </si>
  <si>
    <t>L0987</t>
  </si>
  <si>
    <t>L0988</t>
  </si>
  <si>
    <t>L0989</t>
  </si>
  <si>
    <t>L0990</t>
  </si>
  <si>
    <t>L0991</t>
  </si>
  <si>
    <t>L0992</t>
  </si>
  <si>
    <t>L0993</t>
  </si>
  <si>
    <t>L0994</t>
  </si>
  <si>
    <t>L0995</t>
  </si>
  <si>
    <t>L0996</t>
  </si>
  <si>
    <t>L0997</t>
  </si>
  <si>
    <t>L0998</t>
  </si>
  <si>
    <t>L0999</t>
  </si>
  <si>
    <t>L1000</t>
  </si>
  <si>
    <t>Unknown</t>
  </si>
  <si>
    <t>KPI</t>
  </si>
  <si>
    <t>VALUE</t>
  </si>
  <si>
    <t>TOTAL LEADS</t>
  </si>
  <si>
    <t>CONVERTED LEADS</t>
  </si>
  <si>
    <t>Conversation Rate</t>
  </si>
  <si>
    <t>Total Site Visits</t>
  </si>
  <si>
    <t>Connected Leads</t>
  </si>
  <si>
    <t>Total Sales</t>
  </si>
  <si>
    <t>Total Follow-ups</t>
  </si>
  <si>
    <t>Lost Leads</t>
  </si>
  <si>
    <t>Site Visit Rate</t>
  </si>
  <si>
    <t>Site Visit to Conversion Rate</t>
  </si>
  <si>
    <t>Row Labels</t>
  </si>
  <si>
    <t>Grand Total</t>
  </si>
  <si>
    <t>Count of Lead_ID</t>
  </si>
  <si>
    <t>Column Labels</t>
  </si>
  <si>
    <t>Thudiyalur</t>
  </si>
  <si>
    <t>periyanayakanpalayam</t>
  </si>
  <si>
    <t>Saravanampatti</t>
  </si>
  <si>
    <t>Ramanathapuram</t>
  </si>
  <si>
    <t>panneermadai</t>
  </si>
  <si>
    <t>Budget_Range</t>
  </si>
  <si>
    <t>30L-50L</t>
  </si>
  <si>
    <t>50L-80L</t>
  </si>
  <si>
    <t>80L-1.2Cr</t>
  </si>
  <si>
    <t>Above 1.2Cr</t>
  </si>
  <si>
    <t>Below 30L</t>
  </si>
  <si>
    <t>call_Attempts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</si>
</sst>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yyyy\-mm\-dd\ hh:mm:ss"/>
    <numFmt numFmtId="165" formatCode="[$₹-4009]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4" fillId="0" borderId="0" xfId="0" applyFont="1"/>
    <xf numFmtId="164" fontId="4" fillId="0" borderId="0" xfId="0" applyNumberFormat="1" applyFont="1"/>
    <xf numFmtId="0" fontId="3" fillId="0" borderId="1" xfId="0" applyFont="1" applyBorder="1" applyAlignment="1">
      <alignment horizontal="center" vertical="top"/>
    </xf>
    <xf numFmtId="43" fontId="3" fillId="0" borderId="1" xfId="1" applyFont="1" applyBorder="1" applyAlignment="1">
      <alignment horizontal="center" vertical="top"/>
    </xf>
    <xf numFmtId="43" fontId="4" fillId="0" borderId="0" xfId="1" applyFont="1"/>
    <xf numFmtId="43" fontId="0" fillId="0" borderId="0" xfId="1" applyFont="1"/>
    <xf numFmtId="9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yyyy\-mm\-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[Real_Estate_Leads_Raw.xlsx]lead_source Analysis!PivotTable1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Leads</a:t>
            </a:r>
            <a:r>
              <a:rPr lang="en-US" b="1" baseline="0"/>
              <a:t> by Source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'lead_source Analysis'!$B$2:$B$3</c:f>
              <c:strCache>
                <c:ptCount val="1"/>
                <c:pt idx="0">
                  <c:v>Converted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'lead_source Analysis'!$A$4:$A$11</c:f>
              <c:strCache>
                <c:ptCount val="7"/>
                <c:pt idx="0">
                  <c:v>Facebook</c:v>
                </c:pt>
                <c:pt idx="1">
                  <c:v>Google</c:v>
                </c:pt>
                <c:pt idx="2">
                  <c:v>Instagram</c:v>
                </c:pt>
                <c:pt idx="3">
                  <c:v>Property Portal</c:v>
                </c:pt>
                <c:pt idx="4">
                  <c:v>Referral</c:v>
                </c:pt>
                <c:pt idx="5">
                  <c:v>Unknown</c:v>
                </c:pt>
                <c:pt idx="6">
                  <c:v>Website</c:v>
                </c:pt>
              </c:strCache>
            </c:strRef>
          </c:cat>
          <c:val>
            <c:numRef>
              <c:f>'lead_source Analysis'!$B$4:$B$11</c:f>
              <c:numCache>
                <c:formatCode>General</c:formatCode>
                <c:ptCount val="7"/>
                <c:pt idx="0">
                  <c:v>28</c:v>
                </c:pt>
                <c:pt idx="1">
                  <c:v>44</c:v>
                </c:pt>
                <c:pt idx="2">
                  <c:v>22</c:v>
                </c:pt>
                <c:pt idx="3">
                  <c:v>28</c:v>
                </c:pt>
                <c:pt idx="4">
                  <c:v>27</c:v>
                </c:pt>
                <c:pt idx="6">
                  <c:v>53</c:v>
                </c:pt>
              </c:numCache>
            </c:numRef>
          </c:val>
        </c:ser>
        <c:ser>
          <c:idx val="1"/>
          <c:order val="1"/>
          <c:tx>
            <c:strRef>
              <c:f>'lead_source Analysis'!$C$2:$C$3</c:f>
              <c:strCache>
                <c:ptCount val="1"/>
                <c:pt idx="0">
                  <c:v>Follow-up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'lead_source Analysis'!$A$4:$A$11</c:f>
              <c:strCache>
                <c:ptCount val="7"/>
                <c:pt idx="0">
                  <c:v>Facebook</c:v>
                </c:pt>
                <c:pt idx="1">
                  <c:v>Google</c:v>
                </c:pt>
                <c:pt idx="2">
                  <c:v>Instagram</c:v>
                </c:pt>
                <c:pt idx="3">
                  <c:v>Property Portal</c:v>
                </c:pt>
                <c:pt idx="4">
                  <c:v>Referral</c:v>
                </c:pt>
                <c:pt idx="5">
                  <c:v>Unknown</c:v>
                </c:pt>
                <c:pt idx="6">
                  <c:v>Website</c:v>
                </c:pt>
              </c:strCache>
            </c:strRef>
          </c:cat>
          <c:val>
            <c:numRef>
              <c:f>'lead_source Analysis'!$C$4:$C$11</c:f>
              <c:numCache>
                <c:formatCode>General</c:formatCode>
                <c:ptCount val="7"/>
                <c:pt idx="0">
                  <c:v>75</c:v>
                </c:pt>
                <c:pt idx="1">
                  <c:v>74</c:v>
                </c:pt>
                <c:pt idx="2">
                  <c:v>72</c:v>
                </c:pt>
                <c:pt idx="3">
                  <c:v>71</c:v>
                </c:pt>
                <c:pt idx="4">
                  <c:v>40</c:v>
                </c:pt>
                <c:pt idx="5">
                  <c:v>1</c:v>
                </c:pt>
                <c:pt idx="6">
                  <c:v>81</c:v>
                </c:pt>
              </c:numCache>
            </c:numRef>
          </c:val>
        </c:ser>
        <c:ser>
          <c:idx val="2"/>
          <c:order val="2"/>
          <c:tx>
            <c:strRef>
              <c:f>'lead_source Analysis'!$D$2:$D$3</c:f>
              <c:strCache>
                <c:ptCount val="1"/>
                <c:pt idx="0">
                  <c:v>Lost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'lead_source Analysis'!$A$4:$A$11</c:f>
              <c:strCache>
                <c:ptCount val="7"/>
                <c:pt idx="0">
                  <c:v>Facebook</c:v>
                </c:pt>
                <c:pt idx="1">
                  <c:v>Google</c:v>
                </c:pt>
                <c:pt idx="2">
                  <c:v>Instagram</c:v>
                </c:pt>
                <c:pt idx="3">
                  <c:v>Property Portal</c:v>
                </c:pt>
                <c:pt idx="4">
                  <c:v>Referral</c:v>
                </c:pt>
                <c:pt idx="5">
                  <c:v>Unknown</c:v>
                </c:pt>
                <c:pt idx="6">
                  <c:v>Website</c:v>
                </c:pt>
              </c:strCache>
            </c:strRef>
          </c:cat>
          <c:val>
            <c:numRef>
              <c:f>'lead_source Analysis'!$D$4:$D$11</c:f>
              <c:numCache>
                <c:formatCode>General</c:formatCode>
                <c:ptCount val="7"/>
                <c:pt idx="0">
                  <c:v>62</c:v>
                </c:pt>
                <c:pt idx="1">
                  <c:v>78</c:v>
                </c:pt>
                <c:pt idx="2">
                  <c:v>58</c:v>
                </c:pt>
                <c:pt idx="3">
                  <c:v>62</c:v>
                </c:pt>
                <c:pt idx="4">
                  <c:v>33</c:v>
                </c:pt>
                <c:pt idx="6">
                  <c:v>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7197760"/>
        <c:axId val="259824416"/>
      </c:barChart>
      <c:catAx>
        <c:axId val="21719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824416"/>
        <c:crosses val="autoZero"/>
        <c:auto val="1"/>
        <c:lblAlgn val="ctr"/>
        <c:lblOffset val="100"/>
        <c:noMultiLvlLbl val="0"/>
      </c:catAx>
      <c:valAx>
        <c:axId val="2598244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19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[Real_Estate_Leads_Raw.xlsx]Property_Type_Analysis!PivotTable3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Leads</a:t>
            </a:r>
            <a:r>
              <a:rPr lang="en-US" b="1" baseline="0"/>
              <a:t> by property type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Property_Type_Analysis!$B$2:$B$3</c:f>
              <c:strCache>
                <c:ptCount val="1"/>
                <c:pt idx="0">
                  <c:v>Converted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Property_Type_Analysis!$A$4:$A$8</c:f>
              <c:strCache>
                <c:ptCount val="4"/>
                <c:pt idx="0">
                  <c:v>Apartment</c:v>
                </c:pt>
                <c:pt idx="1">
                  <c:v>Plot</c:v>
                </c:pt>
                <c:pt idx="2">
                  <c:v>Unknown</c:v>
                </c:pt>
                <c:pt idx="3">
                  <c:v>Villa</c:v>
                </c:pt>
              </c:strCache>
            </c:strRef>
          </c:cat>
          <c:val>
            <c:numRef>
              <c:f>Property_Type_Analysis!$B$4:$B$8</c:f>
              <c:numCache>
                <c:formatCode>General</c:formatCode>
                <c:ptCount val="4"/>
                <c:pt idx="0">
                  <c:v>107</c:v>
                </c:pt>
                <c:pt idx="1">
                  <c:v>41</c:v>
                </c:pt>
                <c:pt idx="3">
                  <c:v>54</c:v>
                </c:pt>
              </c:numCache>
            </c:numRef>
          </c:val>
        </c:ser>
        <c:ser>
          <c:idx val="1"/>
          <c:order val="1"/>
          <c:tx>
            <c:strRef>
              <c:f>Property_Type_Analysis!$C$2:$C$3</c:f>
              <c:strCache>
                <c:ptCount val="1"/>
                <c:pt idx="0">
                  <c:v>Follow-up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Property_Type_Analysis!$A$4:$A$8</c:f>
              <c:strCache>
                <c:ptCount val="4"/>
                <c:pt idx="0">
                  <c:v>Apartment</c:v>
                </c:pt>
                <c:pt idx="1">
                  <c:v>Plot</c:v>
                </c:pt>
                <c:pt idx="2">
                  <c:v>Unknown</c:v>
                </c:pt>
                <c:pt idx="3">
                  <c:v>Villa</c:v>
                </c:pt>
              </c:strCache>
            </c:strRef>
          </c:cat>
          <c:val>
            <c:numRef>
              <c:f>Property_Type_Analysis!$C$4:$C$8</c:f>
              <c:numCache>
                <c:formatCode>General</c:formatCode>
                <c:ptCount val="4"/>
                <c:pt idx="0">
                  <c:v>233</c:v>
                </c:pt>
                <c:pt idx="1">
                  <c:v>76</c:v>
                </c:pt>
                <c:pt idx="2">
                  <c:v>1</c:v>
                </c:pt>
                <c:pt idx="3">
                  <c:v>104</c:v>
                </c:pt>
              </c:numCache>
            </c:numRef>
          </c:val>
        </c:ser>
        <c:ser>
          <c:idx val="2"/>
          <c:order val="2"/>
          <c:tx>
            <c:strRef>
              <c:f>Property_Type_Analysis!$D$2:$D$3</c:f>
              <c:strCache>
                <c:ptCount val="1"/>
                <c:pt idx="0">
                  <c:v>Lost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Property_Type_Analysis!$A$4:$A$8</c:f>
              <c:strCache>
                <c:ptCount val="4"/>
                <c:pt idx="0">
                  <c:v>Apartment</c:v>
                </c:pt>
                <c:pt idx="1">
                  <c:v>Plot</c:v>
                </c:pt>
                <c:pt idx="2">
                  <c:v>Unknown</c:v>
                </c:pt>
                <c:pt idx="3">
                  <c:v>Villa</c:v>
                </c:pt>
              </c:strCache>
            </c:strRef>
          </c:cat>
          <c:val>
            <c:numRef>
              <c:f>Property_Type_Analysis!$D$4:$D$8</c:f>
              <c:numCache>
                <c:formatCode>General</c:formatCode>
                <c:ptCount val="4"/>
                <c:pt idx="0">
                  <c:v>214</c:v>
                </c:pt>
                <c:pt idx="1">
                  <c:v>87</c:v>
                </c:pt>
                <c:pt idx="3">
                  <c:v>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473794549266259"/>
          <c:y val="0.35270935960591132"/>
          <c:w val="0.3081761006289308"/>
          <c:h val="0.538784893267651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[Real_Estate_Leads_Raw.xlsx]Budget Analysis!PivotTable6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Leads</a:t>
            </a:r>
            <a:r>
              <a:rPr lang="en-US" b="1" baseline="0"/>
              <a:t> by Budget Range</a:t>
            </a:r>
            <a:endParaRPr lang="en-US" b="1"/>
          </a:p>
        </c:rich>
      </c:tx>
      <c:layout>
        <c:manualLayout>
          <c:xMode val="edge"/>
          <c:yMode val="edge"/>
          <c:x val="0.27617648916384741"/>
          <c:y val="6.18955386881638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252511539505837"/>
          <c:y val="0.16818576249397393"/>
          <c:w val="0.88169359012185544"/>
          <c:h val="0.6890354327590667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'Budget Analysis'!$B$2:$B$3</c:f>
              <c:strCache>
                <c:ptCount val="1"/>
                <c:pt idx="0">
                  <c:v>Converted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'Budget Analysis'!$A$4:$A$9</c:f>
              <c:strCache>
                <c:ptCount val="5"/>
                <c:pt idx="0">
                  <c:v>30L-50L</c:v>
                </c:pt>
                <c:pt idx="1">
                  <c:v>50L-80L</c:v>
                </c:pt>
                <c:pt idx="2">
                  <c:v>80L-1.2Cr</c:v>
                </c:pt>
                <c:pt idx="3">
                  <c:v>Above 1.2Cr</c:v>
                </c:pt>
                <c:pt idx="4">
                  <c:v>Below 30L</c:v>
                </c:pt>
              </c:strCache>
            </c:strRef>
          </c:cat>
          <c:val>
            <c:numRef>
              <c:f>'Budget Analysis'!$B$4:$B$9</c:f>
              <c:numCache>
                <c:formatCode>General</c:formatCode>
                <c:ptCount val="5"/>
                <c:pt idx="0">
                  <c:v>75</c:v>
                </c:pt>
                <c:pt idx="1">
                  <c:v>65</c:v>
                </c:pt>
                <c:pt idx="2">
                  <c:v>35</c:v>
                </c:pt>
                <c:pt idx="3">
                  <c:v>7</c:v>
                </c:pt>
                <c:pt idx="4">
                  <c:v>20</c:v>
                </c:pt>
              </c:numCache>
            </c:numRef>
          </c:val>
        </c:ser>
        <c:ser>
          <c:idx val="1"/>
          <c:order val="1"/>
          <c:tx>
            <c:strRef>
              <c:f>'Budget Analysis'!$C$2:$C$3</c:f>
              <c:strCache>
                <c:ptCount val="1"/>
                <c:pt idx="0">
                  <c:v>Follow-up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'Budget Analysis'!$A$4:$A$9</c:f>
              <c:strCache>
                <c:ptCount val="5"/>
                <c:pt idx="0">
                  <c:v>30L-50L</c:v>
                </c:pt>
                <c:pt idx="1">
                  <c:v>50L-80L</c:v>
                </c:pt>
                <c:pt idx="2">
                  <c:v>80L-1.2Cr</c:v>
                </c:pt>
                <c:pt idx="3">
                  <c:v>Above 1.2Cr</c:v>
                </c:pt>
                <c:pt idx="4">
                  <c:v>Below 30L</c:v>
                </c:pt>
              </c:strCache>
            </c:strRef>
          </c:cat>
          <c:val>
            <c:numRef>
              <c:f>'Budget Analysis'!$C$4:$C$9</c:f>
              <c:numCache>
                <c:formatCode>General</c:formatCode>
                <c:ptCount val="5"/>
                <c:pt idx="0">
                  <c:v>155</c:v>
                </c:pt>
                <c:pt idx="1">
                  <c:v>131</c:v>
                </c:pt>
                <c:pt idx="2">
                  <c:v>80</c:v>
                </c:pt>
                <c:pt idx="3">
                  <c:v>8</c:v>
                </c:pt>
                <c:pt idx="4">
                  <c:v>40</c:v>
                </c:pt>
              </c:numCache>
            </c:numRef>
          </c:val>
        </c:ser>
        <c:ser>
          <c:idx val="2"/>
          <c:order val="2"/>
          <c:tx>
            <c:strRef>
              <c:f>'Budget Analysis'!$D$2:$D$3</c:f>
              <c:strCache>
                <c:ptCount val="1"/>
                <c:pt idx="0">
                  <c:v>Lost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'Budget Analysis'!$A$4:$A$9</c:f>
              <c:strCache>
                <c:ptCount val="5"/>
                <c:pt idx="0">
                  <c:v>30L-50L</c:v>
                </c:pt>
                <c:pt idx="1">
                  <c:v>50L-80L</c:v>
                </c:pt>
                <c:pt idx="2">
                  <c:v>80L-1.2Cr</c:v>
                </c:pt>
                <c:pt idx="3">
                  <c:v>Above 1.2Cr</c:v>
                </c:pt>
                <c:pt idx="4">
                  <c:v>Below 30L</c:v>
                </c:pt>
              </c:strCache>
            </c:strRef>
          </c:cat>
          <c:val>
            <c:numRef>
              <c:f>'Budget Analysis'!$D$4:$D$9</c:f>
              <c:numCache>
                <c:formatCode>General</c:formatCode>
                <c:ptCount val="5"/>
                <c:pt idx="0">
                  <c:v>155</c:v>
                </c:pt>
                <c:pt idx="1">
                  <c:v>126</c:v>
                </c:pt>
                <c:pt idx="2">
                  <c:v>48</c:v>
                </c:pt>
                <c:pt idx="3">
                  <c:v>15</c:v>
                </c:pt>
                <c:pt idx="4">
                  <c:v>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1276296"/>
        <c:axId val="262024880"/>
      </c:barChart>
      <c:catAx>
        <c:axId val="261276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024880"/>
        <c:crosses val="autoZero"/>
        <c:auto val="1"/>
        <c:lblAlgn val="ctr"/>
        <c:lblOffset val="100"/>
        <c:noMultiLvlLbl val="0"/>
      </c:catAx>
      <c:valAx>
        <c:axId val="262024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276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[Real_Estate_Leads_Raw.xlsx]Source_SiteVisit_Analysis!PivotTable9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Site</a:t>
            </a:r>
            <a:r>
              <a:rPr lang="en-US" b="1" baseline="0"/>
              <a:t> Visit Distribution</a:t>
            </a:r>
            <a:endParaRPr lang="en-US" b="1"/>
          </a:p>
        </c:rich>
      </c:tx>
      <c:layout>
        <c:manualLayout>
          <c:xMode val="edge"/>
          <c:yMode val="edge"/>
          <c:x val="0.23690112130479102"/>
          <c:y val="2.6666666666666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Source_SiteVisit_Analysis!$B$2:$B$3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Source_SiteVisit_Analysis!$A$4:$A$11</c:f>
              <c:strCache>
                <c:ptCount val="7"/>
                <c:pt idx="0">
                  <c:v>Facebook</c:v>
                </c:pt>
                <c:pt idx="1">
                  <c:v>Google</c:v>
                </c:pt>
                <c:pt idx="2">
                  <c:v>Instagram</c:v>
                </c:pt>
                <c:pt idx="3">
                  <c:v>Property Portal</c:v>
                </c:pt>
                <c:pt idx="4">
                  <c:v>Referral</c:v>
                </c:pt>
                <c:pt idx="5">
                  <c:v>Unknown</c:v>
                </c:pt>
                <c:pt idx="6">
                  <c:v>Website</c:v>
                </c:pt>
              </c:strCache>
            </c:strRef>
          </c:cat>
          <c:val>
            <c:numRef>
              <c:f>Source_SiteVisit_Analysis!$B$4:$B$11</c:f>
              <c:numCache>
                <c:formatCode>General</c:formatCode>
                <c:ptCount val="7"/>
                <c:pt idx="0">
                  <c:v>114</c:v>
                </c:pt>
                <c:pt idx="1">
                  <c:v>135</c:v>
                </c:pt>
                <c:pt idx="2">
                  <c:v>110</c:v>
                </c:pt>
                <c:pt idx="3">
                  <c:v>119</c:v>
                </c:pt>
                <c:pt idx="4">
                  <c:v>64</c:v>
                </c:pt>
                <c:pt idx="6">
                  <c:v>153</c:v>
                </c:pt>
              </c:numCache>
            </c:numRef>
          </c:val>
        </c:ser>
        <c:ser>
          <c:idx val="1"/>
          <c:order val="1"/>
          <c:tx>
            <c:strRef>
              <c:f>Source_SiteVisit_Analysis!$C$2:$C$3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Source_SiteVisit_Analysis!$A$4:$A$11</c:f>
              <c:strCache>
                <c:ptCount val="7"/>
                <c:pt idx="0">
                  <c:v>Facebook</c:v>
                </c:pt>
                <c:pt idx="1">
                  <c:v>Google</c:v>
                </c:pt>
                <c:pt idx="2">
                  <c:v>Instagram</c:v>
                </c:pt>
                <c:pt idx="3">
                  <c:v>Property Portal</c:v>
                </c:pt>
                <c:pt idx="4">
                  <c:v>Referral</c:v>
                </c:pt>
                <c:pt idx="5">
                  <c:v>Unknown</c:v>
                </c:pt>
                <c:pt idx="6">
                  <c:v>Website</c:v>
                </c:pt>
              </c:strCache>
            </c:strRef>
          </c:cat>
          <c:val>
            <c:numRef>
              <c:f>Source_SiteVisit_Analysis!$C$4:$C$11</c:f>
              <c:numCache>
                <c:formatCode>General</c:formatCode>
                <c:ptCount val="7"/>
                <c:pt idx="0">
                  <c:v>51</c:v>
                </c:pt>
                <c:pt idx="1">
                  <c:v>61</c:v>
                </c:pt>
                <c:pt idx="2">
                  <c:v>42</c:v>
                </c:pt>
                <c:pt idx="3">
                  <c:v>42</c:v>
                </c:pt>
                <c:pt idx="4">
                  <c:v>36</c:v>
                </c:pt>
                <c:pt idx="5">
                  <c:v>1</c:v>
                </c:pt>
                <c:pt idx="6">
                  <c:v>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342899</xdr:colOff>
      <xdr:row>0</xdr:row>
      <xdr:rowOff>28574</xdr:rowOff>
    </xdr:from>
    <xdr:to>
      <xdr:col>13</xdr:col>
      <xdr:colOff>295274</xdr:colOff>
      <xdr:row>1</xdr:row>
      <xdr:rowOff>180975</xdr:rowOff>
    </xdr:to>
    <xdr:sp macro="" textlink="">
      <xdr:nvSpPr>
        <xdr:cNvPr id="3" name="Rounded Rectangle 2"/>
        <xdr:cNvSpPr/>
      </xdr:nvSpPr>
      <xdr:spPr>
        <a:xfrm>
          <a:off x="3390899" y="28574"/>
          <a:ext cx="4829175" cy="342901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38100</xdr:colOff>
      <xdr:row>3</xdr:row>
      <xdr:rowOff>76200</xdr:rowOff>
    </xdr:from>
    <xdr:to>
      <xdr:col>2</xdr:col>
      <xdr:colOff>104775</xdr:colOff>
      <xdr:row>6</xdr:row>
      <xdr:rowOff>161925</xdr:rowOff>
    </xdr:to>
    <xdr:sp macro="" textlink="">
      <xdr:nvSpPr>
        <xdr:cNvPr id="5" name="Rounded Rectangle 4"/>
        <xdr:cNvSpPr/>
      </xdr:nvSpPr>
      <xdr:spPr>
        <a:xfrm>
          <a:off x="38100" y="647700"/>
          <a:ext cx="1285875" cy="657225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104775</xdr:colOff>
      <xdr:row>3</xdr:row>
      <xdr:rowOff>161925</xdr:rowOff>
    </xdr:from>
    <xdr:to>
      <xdr:col>1</xdr:col>
      <xdr:colOff>581025</xdr:colOff>
      <xdr:row>6</xdr:row>
      <xdr:rowOff>0</xdr:rowOff>
    </xdr:to>
    <xdr:sp macro="" textlink="Dashboard!$B$2">
      <xdr:nvSpPr>
        <xdr:cNvPr id="4" name="Rounded Rectangle 3"/>
        <xdr:cNvSpPr/>
      </xdr:nvSpPr>
      <xdr:spPr>
        <a:xfrm>
          <a:off x="104775" y="733425"/>
          <a:ext cx="1085850" cy="409575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39D272FF-FDA4-458E-9AE2-0E0853DC9D25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 </a:t>
          </a:fld>
          <a:endParaRPr lang="en-US" sz="1100"/>
        </a:p>
      </xdr:txBody>
    </xdr:sp>
    <xdr:clientData/>
  </xdr:twoCellAnchor>
  <xdr:twoCellAnchor>
    <xdr:from>
      <xdr:col>5</xdr:col>
      <xdr:colOff>476250</xdr:colOff>
      <xdr:row>0</xdr:row>
      <xdr:rowOff>38100</xdr:rowOff>
    </xdr:from>
    <xdr:to>
      <xdr:col>13</xdr:col>
      <xdr:colOff>171450</xdr:colOff>
      <xdr:row>1</xdr:row>
      <xdr:rowOff>104775</xdr:rowOff>
    </xdr:to>
    <xdr:sp macro="" textlink="">
      <xdr:nvSpPr>
        <xdr:cNvPr id="12289" name="Text Box 1"/>
        <xdr:cNvSpPr txBox="1">
          <a:spLocks noChangeArrowheads="1"/>
        </xdr:cNvSpPr>
      </xdr:nvSpPr>
      <xdr:spPr bwMode="auto">
        <a:xfrm>
          <a:off x="3524250" y="38100"/>
          <a:ext cx="4572000" cy="257175"/>
        </a:xfrm>
        <a:prstGeom prst="rect">
          <a:avLst/>
        </a:prstGeom>
        <a:solidFill>
          <a:srgbClr val="0070C0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400" b="0" i="0" u="none" strike="noStrike" baseline="0">
              <a:ln>
                <a:noFill/>
              </a:ln>
              <a:solidFill>
                <a:schemeClr val="bg1"/>
              </a:solidFill>
              <a:latin typeface="Calibri"/>
              <a:cs typeface="Calibri"/>
            </a:rPr>
            <a:t>REAL ESTATE LEAD GENERATION &amp; CONVERSION ANALYTICS</a:t>
          </a:r>
        </a:p>
      </xdr:txBody>
    </xdr:sp>
    <xdr:clientData/>
  </xdr:twoCellAnchor>
  <xdr:twoCellAnchor>
    <xdr:from>
      <xdr:col>0</xdr:col>
      <xdr:colOff>352425</xdr:colOff>
      <xdr:row>4</xdr:row>
      <xdr:rowOff>123825</xdr:rowOff>
    </xdr:from>
    <xdr:to>
      <xdr:col>1</xdr:col>
      <xdr:colOff>600075</xdr:colOff>
      <xdr:row>6</xdr:row>
      <xdr:rowOff>19050</xdr:rowOff>
    </xdr:to>
    <xdr:sp macro="" textlink="Analysis!B2">
      <xdr:nvSpPr>
        <xdr:cNvPr id="12290" name="Text Box 2"/>
        <xdr:cNvSpPr txBox="1">
          <a:spLocks noChangeArrowheads="1"/>
        </xdr:cNvSpPr>
      </xdr:nvSpPr>
      <xdr:spPr bwMode="auto">
        <a:xfrm>
          <a:off x="352425" y="885825"/>
          <a:ext cx="857250" cy="276225"/>
        </a:xfrm>
        <a:prstGeom prst="rect">
          <a:avLst/>
        </a:prstGeom>
        <a:solidFill>
          <a:srgbClr val="FFC000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fld id="{93D7FFFB-5C35-45DF-BCAD-EA081D2387C5}" type="TxLink">
            <a:rPr lang="en-US" sz="2000" b="0" i="0" u="none" strike="noStrike" baseline="0">
              <a:solidFill>
                <a:srgbClr val="000000"/>
              </a:solidFill>
              <a:latin typeface="Calibri"/>
              <a:cs typeface="Calibri"/>
            </a:rPr>
            <a:pPr algn="l" rtl="0">
              <a:defRPr sz="1000"/>
            </a:pPr>
            <a:t>1000</a:t>
          </a:fld>
          <a:endParaRPr lang="en-US" sz="2000" b="0" i="0" u="none" strike="noStrike" baseline="0">
            <a:solidFill>
              <a:srgbClr val="000000"/>
            </a:solidFill>
            <a:latin typeface="+mn-lt"/>
            <a:cs typeface="Calibri"/>
          </a:endParaRPr>
        </a:p>
      </xdr:txBody>
    </xdr:sp>
    <xdr:clientData/>
  </xdr:twoCellAnchor>
  <xdr:twoCellAnchor>
    <xdr:from>
      <xdr:col>0</xdr:col>
      <xdr:colOff>190501</xdr:colOff>
      <xdr:row>3</xdr:row>
      <xdr:rowOff>85725</xdr:rowOff>
    </xdr:from>
    <xdr:to>
      <xdr:col>1</xdr:col>
      <xdr:colOff>428625</xdr:colOff>
      <xdr:row>4</xdr:row>
      <xdr:rowOff>152400</xdr:rowOff>
    </xdr:to>
    <xdr:sp macro="" textlink="">
      <xdr:nvSpPr>
        <xdr:cNvPr id="12291" name="Text Box 3"/>
        <xdr:cNvSpPr txBox="1">
          <a:spLocks noChangeArrowheads="1"/>
        </xdr:cNvSpPr>
      </xdr:nvSpPr>
      <xdr:spPr bwMode="auto">
        <a:xfrm>
          <a:off x="190501" y="657225"/>
          <a:ext cx="847724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TOTAL LEADS</a:t>
          </a:r>
        </a:p>
      </xdr:txBody>
    </xdr:sp>
    <xdr:clientData/>
  </xdr:twoCellAnchor>
  <xdr:twoCellAnchor>
    <xdr:from>
      <xdr:col>2</xdr:col>
      <xdr:colOff>161925</xdr:colOff>
      <xdr:row>3</xdr:row>
      <xdr:rowOff>76199</xdr:rowOff>
    </xdr:from>
    <xdr:to>
      <xdr:col>4</xdr:col>
      <xdr:colOff>333375</xdr:colOff>
      <xdr:row>6</xdr:row>
      <xdr:rowOff>180974</xdr:rowOff>
    </xdr:to>
    <xdr:sp macro="" textlink="">
      <xdr:nvSpPr>
        <xdr:cNvPr id="6" name="Rounded Rectangle 5"/>
        <xdr:cNvSpPr/>
      </xdr:nvSpPr>
      <xdr:spPr>
        <a:xfrm>
          <a:off x="1381125" y="647699"/>
          <a:ext cx="1390650" cy="676275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Converted Leads</a:t>
          </a:r>
        </a:p>
        <a:p>
          <a:pPr algn="l"/>
          <a:endParaRPr lang="en-US" sz="1100"/>
        </a:p>
      </xdr:txBody>
    </xdr:sp>
    <xdr:clientData/>
  </xdr:twoCellAnchor>
  <xdr:twoCellAnchor>
    <xdr:from>
      <xdr:col>3</xdr:col>
      <xdr:colOff>142875</xdr:colOff>
      <xdr:row>4</xdr:row>
      <xdr:rowOff>152399</xdr:rowOff>
    </xdr:from>
    <xdr:to>
      <xdr:col>4</xdr:col>
      <xdr:colOff>257174</xdr:colOff>
      <xdr:row>6</xdr:row>
      <xdr:rowOff>57150</xdr:rowOff>
    </xdr:to>
    <xdr:sp macro="" textlink="Analysis!B3">
      <xdr:nvSpPr>
        <xdr:cNvPr id="7" name="Rounded Rectangle 6"/>
        <xdr:cNvSpPr/>
      </xdr:nvSpPr>
      <xdr:spPr>
        <a:xfrm>
          <a:off x="1971675" y="914399"/>
          <a:ext cx="723899" cy="285751"/>
        </a:xfrm>
        <a:prstGeom prst="round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fld id="{8EBB48CE-ED62-4C25-8095-C746783F9940}" type="TxLink">
            <a:rPr lang="en-US" sz="2000" b="0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202</a:t>
          </a:fld>
          <a:endParaRPr lang="en-US" sz="2000"/>
        </a:p>
      </xdr:txBody>
    </xdr:sp>
    <xdr:clientData/>
  </xdr:twoCellAnchor>
  <xdr:twoCellAnchor>
    <xdr:from>
      <xdr:col>4</xdr:col>
      <xdr:colOff>352425</xdr:colOff>
      <xdr:row>3</xdr:row>
      <xdr:rowOff>66675</xdr:rowOff>
    </xdr:from>
    <xdr:to>
      <xdr:col>7</xdr:col>
      <xdr:colOff>57151</xdr:colOff>
      <xdr:row>6</xdr:row>
      <xdr:rowOff>171449</xdr:rowOff>
    </xdr:to>
    <xdr:sp macro="" textlink="">
      <xdr:nvSpPr>
        <xdr:cNvPr id="8" name="Rounded Rectangle 7"/>
        <xdr:cNvSpPr/>
      </xdr:nvSpPr>
      <xdr:spPr>
        <a:xfrm>
          <a:off x="2790825" y="638175"/>
          <a:ext cx="1533526" cy="676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419100</xdr:colOff>
      <xdr:row>4</xdr:row>
      <xdr:rowOff>85725</xdr:rowOff>
    </xdr:from>
    <xdr:to>
      <xdr:col>6</xdr:col>
      <xdr:colOff>571499</xdr:colOff>
      <xdr:row>6</xdr:row>
      <xdr:rowOff>95250</xdr:rowOff>
    </xdr:to>
    <xdr:sp macro="" textlink="Analysis!B4">
      <xdr:nvSpPr>
        <xdr:cNvPr id="13" name="Rounded Rectangle 12"/>
        <xdr:cNvSpPr/>
      </xdr:nvSpPr>
      <xdr:spPr>
        <a:xfrm>
          <a:off x="3467100" y="847725"/>
          <a:ext cx="761999" cy="390525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DCB9A40B-8BDC-4E28-B4AA-B37B9B826C52}" type="TxLink">
            <a:rPr lang="en-US" sz="20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20%</a:t>
          </a:fld>
          <a:endParaRPr lang="en-US" sz="20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390525</xdr:colOff>
      <xdr:row>3</xdr:row>
      <xdr:rowOff>85725</xdr:rowOff>
    </xdr:from>
    <xdr:to>
      <xdr:col>6</xdr:col>
      <xdr:colOff>400050</xdr:colOff>
      <xdr:row>4</xdr:row>
      <xdr:rowOff>76200</xdr:rowOff>
    </xdr:to>
    <xdr:sp macro="" textlink="">
      <xdr:nvSpPr>
        <xdr:cNvPr id="12292" name="Text Box 4"/>
        <xdr:cNvSpPr txBox="1">
          <a:spLocks noChangeArrowheads="1"/>
        </xdr:cNvSpPr>
      </xdr:nvSpPr>
      <xdr:spPr bwMode="auto">
        <a:xfrm>
          <a:off x="2828925" y="657225"/>
          <a:ext cx="1228725" cy="180975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CONVERSION RATE</a:t>
          </a:r>
        </a:p>
      </xdr:txBody>
    </xdr:sp>
    <xdr:clientData/>
  </xdr:twoCellAnchor>
  <xdr:twoCellAnchor>
    <xdr:from>
      <xdr:col>7</xdr:col>
      <xdr:colOff>142875</xdr:colOff>
      <xdr:row>3</xdr:row>
      <xdr:rowOff>66675</xdr:rowOff>
    </xdr:from>
    <xdr:to>
      <xdr:col>9</xdr:col>
      <xdr:colOff>323850</xdr:colOff>
      <xdr:row>7</xdr:row>
      <xdr:rowOff>0</xdr:rowOff>
    </xdr:to>
    <xdr:sp macro="" textlink="">
      <xdr:nvSpPr>
        <xdr:cNvPr id="14" name="Rounded Rectangle 13"/>
        <xdr:cNvSpPr/>
      </xdr:nvSpPr>
      <xdr:spPr>
        <a:xfrm>
          <a:off x="4410075" y="638175"/>
          <a:ext cx="1400175" cy="695325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200025</xdr:colOff>
      <xdr:row>3</xdr:row>
      <xdr:rowOff>104774</xdr:rowOff>
    </xdr:from>
    <xdr:to>
      <xdr:col>8</xdr:col>
      <xdr:colOff>438149</xdr:colOff>
      <xdr:row>4</xdr:row>
      <xdr:rowOff>161925</xdr:rowOff>
    </xdr:to>
    <xdr:sp macro="" textlink="">
      <xdr:nvSpPr>
        <xdr:cNvPr id="12293" name="Text Box 5"/>
        <xdr:cNvSpPr txBox="1">
          <a:spLocks noChangeArrowheads="1"/>
        </xdr:cNvSpPr>
      </xdr:nvSpPr>
      <xdr:spPr bwMode="auto">
        <a:xfrm>
          <a:off x="4467225" y="676274"/>
          <a:ext cx="847724" cy="247651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SITE VISITS</a:t>
          </a:r>
        </a:p>
      </xdr:txBody>
    </xdr:sp>
    <xdr:clientData/>
  </xdr:twoCellAnchor>
  <xdr:twoCellAnchor>
    <xdr:from>
      <xdr:col>7</xdr:col>
      <xdr:colOff>552450</xdr:colOff>
      <xdr:row>4</xdr:row>
      <xdr:rowOff>171450</xdr:rowOff>
    </xdr:from>
    <xdr:to>
      <xdr:col>9</xdr:col>
      <xdr:colOff>95249</xdr:colOff>
      <xdr:row>6</xdr:row>
      <xdr:rowOff>104776</xdr:rowOff>
    </xdr:to>
    <xdr:sp macro="" textlink="Analysis!B5">
      <xdr:nvSpPr>
        <xdr:cNvPr id="15" name="Rounded Rectangle 14"/>
        <xdr:cNvSpPr/>
      </xdr:nvSpPr>
      <xdr:spPr>
        <a:xfrm>
          <a:off x="4819650" y="933450"/>
          <a:ext cx="761999" cy="314326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fld id="{72FCAE13-DDAE-4EBF-865D-9DA1B185E130}" type="TxLink">
            <a:rPr lang="en-US" sz="20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305</a:t>
          </a:fld>
          <a:endParaRPr lang="en-US" sz="2000"/>
        </a:p>
      </xdr:txBody>
    </xdr:sp>
    <xdr:clientData/>
  </xdr:twoCellAnchor>
  <xdr:twoCellAnchor>
    <xdr:from>
      <xdr:col>9</xdr:col>
      <xdr:colOff>419099</xdr:colOff>
      <xdr:row>3</xdr:row>
      <xdr:rowOff>66675</xdr:rowOff>
    </xdr:from>
    <xdr:to>
      <xdr:col>11</xdr:col>
      <xdr:colOff>419100</xdr:colOff>
      <xdr:row>6</xdr:row>
      <xdr:rowOff>190499</xdr:rowOff>
    </xdr:to>
    <xdr:sp macro="" textlink="">
      <xdr:nvSpPr>
        <xdr:cNvPr id="16" name="Rounded Rectangle 15"/>
        <xdr:cNvSpPr/>
      </xdr:nvSpPr>
      <xdr:spPr>
        <a:xfrm>
          <a:off x="5905499" y="638175"/>
          <a:ext cx="1219201" cy="695324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504825</xdr:colOff>
      <xdr:row>4</xdr:row>
      <xdr:rowOff>180975</xdr:rowOff>
    </xdr:from>
    <xdr:to>
      <xdr:col>11</xdr:col>
      <xdr:colOff>323850</xdr:colOff>
      <xdr:row>6</xdr:row>
      <xdr:rowOff>123825</xdr:rowOff>
    </xdr:to>
    <xdr:sp macro="" textlink="Analysis!D7">
      <xdr:nvSpPr>
        <xdr:cNvPr id="17" name="Rounded Rectangle 16"/>
        <xdr:cNvSpPr/>
      </xdr:nvSpPr>
      <xdr:spPr>
        <a:xfrm>
          <a:off x="5991225" y="942975"/>
          <a:ext cx="1038225" cy="323850"/>
        </a:xfrm>
        <a:prstGeom prst="round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D73053BC-45BD-46DD-85E4-08ADA86A51A7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₹ 117.41</a:t>
          </a:fld>
          <a:endParaRPr lang="en-US" sz="1800"/>
        </a:p>
      </xdr:txBody>
    </xdr:sp>
    <xdr:clientData/>
  </xdr:twoCellAnchor>
  <xdr:twoCellAnchor>
    <xdr:from>
      <xdr:col>9</xdr:col>
      <xdr:colOff>514350</xdr:colOff>
      <xdr:row>3</xdr:row>
      <xdr:rowOff>142875</xdr:rowOff>
    </xdr:from>
    <xdr:to>
      <xdr:col>11</xdr:col>
      <xdr:colOff>257176</xdr:colOff>
      <xdr:row>5</xdr:row>
      <xdr:rowOff>19050</xdr:rowOff>
    </xdr:to>
    <xdr:sp macro="" textlink="">
      <xdr:nvSpPr>
        <xdr:cNvPr id="12294" name="Text Box 6"/>
        <xdr:cNvSpPr txBox="1">
          <a:spLocks noChangeArrowheads="1"/>
        </xdr:cNvSpPr>
      </xdr:nvSpPr>
      <xdr:spPr bwMode="auto">
        <a:xfrm>
          <a:off x="6000750" y="714375"/>
          <a:ext cx="962026" cy="257175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TOTAL SALES</a:t>
          </a:r>
        </a:p>
      </xdr:txBody>
    </xdr:sp>
    <xdr:clientData/>
  </xdr:twoCellAnchor>
  <xdr:twoCellAnchor>
    <xdr:from>
      <xdr:col>0</xdr:col>
      <xdr:colOff>85725</xdr:colOff>
      <xdr:row>7</xdr:row>
      <xdr:rowOff>76198</xdr:rowOff>
    </xdr:from>
    <xdr:to>
      <xdr:col>4</xdr:col>
      <xdr:colOff>361950</xdr:colOff>
      <xdr:row>22</xdr:row>
      <xdr:rowOff>152399</xdr:rowOff>
    </xdr:to>
    <xdr:graphicFrame macro="">
      <xdr:nvGraphicFramePr>
        <xdr:cNvPr id="24" name="Chart 23" title="Leads by Source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466725</xdr:colOff>
      <xdr:row>7</xdr:row>
      <xdr:rowOff>133351</xdr:rowOff>
    </xdr:from>
    <xdr:to>
      <xdr:col>10</xdr:col>
      <xdr:colOff>47625</xdr:colOff>
      <xdr:row>22</xdr:row>
      <xdr:rowOff>123825</xdr:rowOff>
    </xdr:to>
    <xdr:graphicFrame macro="">
      <xdr:nvGraphicFramePr>
        <xdr:cNvPr id="26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552449</xdr:colOff>
      <xdr:row>7</xdr:row>
      <xdr:rowOff>38100</xdr:rowOff>
    </xdr:from>
    <xdr:to>
      <xdr:col>20</xdr:col>
      <xdr:colOff>323850</xdr:colOff>
      <xdr:row>21</xdr:row>
      <xdr:rowOff>171450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238125</xdr:colOff>
      <xdr:row>7</xdr:row>
      <xdr:rowOff>95250</xdr:rowOff>
    </xdr:from>
    <xdr:to>
      <xdr:col>15</xdr:col>
      <xdr:colOff>304800</xdr:colOff>
      <xdr:row>22</xdr:row>
      <xdr:rowOff>95250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51.516838541669" createdVersion="5" refreshedVersion="5" minRefreshableVersion="3" recordCount="1000">
  <cacheSource type="worksheet">
    <worksheetSource name="Table1"/>
  </cacheSource>
  <cacheFields count="13">
    <cacheField name="Lead_ID" numFmtId="0">
      <sharedItems count="1000">
        <s v="L0001"/>
        <s v="L0002"/>
        <s v="L0003"/>
        <s v="L0004"/>
        <s v="L0005"/>
        <s v="L0006"/>
        <s v="L0007"/>
        <s v="L0008"/>
        <s v="L0009"/>
        <s v="L0010"/>
        <s v="L0011"/>
        <s v="L0012"/>
        <s v="L0013"/>
        <s v="L0014"/>
        <s v="L0015"/>
        <s v="L0016"/>
        <s v="L0017"/>
        <s v="L0018"/>
        <s v="L0019"/>
        <s v="L0020"/>
        <s v="L0021"/>
        <s v="L0022"/>
        <s v="L0023"/>
        <s v="L0024"/>
        <s v="L0025"/>
        <s v="L0026"/>
        <s v="L0027"/>
        <s v="L0028"/>
        <s v="L0029"/>
        <s v="L0030"/>
        <s v="L0031"/>
        <s v="L0032"/>
        <s v="L0033"/>
        <s v="L0034"/>
        <s v="L0035"/>
        <s v="L0036"/>
        <s v="L0037"/>
        <s v="L0038"/>
        <s v="L0039"/>
        <s v="L0040"/>
        <s v="L0041"/>
        <s v="L0042"/>
        <s v="L0043"/>
        <s v="L0044"/>
        <s v="L0045"/>
        <s v="L0046"/>
        <s v="L0047"/>
        <s v="L0048"/>
        <s v="L0049"/>
        <s v="L0050"/>
        <s v="L0051"/>
        <s v="L0052"/>
        <s v="L0053"/>
        <s v="L0054"/>
        <s v="L0055"/>
        <s v="L0056"/>
        <s v="L0057"/>
        <s v="L0058"/>
        <s v="L0059"/>
        <s v="L0060"/>
        <s v="L0061"/>
        <s v="L0062"/>
        <s v="L0063"/>
        <s v="L0064"/>
        <s v="L0065"/>
        <s v="L0066"/>
        <s v="L0067"/>
        <s v="L0068"/>
        <s v="L0069"/>
        <s v="L0070"/>
        <s v="L0071"/>
        <s v="L0072"/>
        <s v="L0073"/>
        <s v="L0074"/>
        <s v="L0075"/>
        <s v="L0076"/>
        <s v="L0077"/>
        <s v="L0078"/>
        <s v="L0079"/>
        <s v="L0080"/>
        <s v="L0081"/>
        <s v="L0082"/>
        <s v="L0083"/>
        <s v="L0084"/>
        <s v="L0085"/>
        <s v="L0086"/>
        <s v="L0087"/>
        <s v="L0088"/>
        <s v="L0089"/>
        <s v="L0090"/>
        <s v="L0091"/>
        <s v="L0092"/>
        <s v="L0093"/>
        <s v="L0094"/>
        <s v="L0095"/>
        <s v="L0096"/>
        <s v="L0097"/>
        <s v="L0098"/>
        <s v="L0099"/>
        <s v="L0100"/>
        <s v="L0101"/>
        <s v="L0102"/>
        <s v="L0103"/>
        <s v="L0104"/>
        <s v="L0105"/>
        <s v="L0106"/>
        <s v="L0107"/>
        <s v="L0108"/>
        <s v="L0109"/>
        <s v="L0110"/>
        <s v="L0111"/>
        <s v="L0112"/>
        <s v="L0113"/>
        <s v="L0114"/>
        <s v="L0115"/>
        <s v="L0116"/>
        <s v="L0117"/>
        <s v="L0118"/>
        <s v="L0119"/>
        <s v="L0120"/>
        <s v="L0121"/>
        <s v="L0122"/>
        <s v="L0123"/>
        <s v="L0124"/>
        <s v="L0125"/>
        <s v="L0126"/>
        <s v="L0127"/>
        <s v="L0128"/>
        <s v="L0129"/>
        <s v="L0130"/>
        <s v="L0131"/>
        <s v="L0132"/>
        <s v="L0133"/>
        <s v="L0134"/>
        <s v="L0135"/>
        <s v="L0136"/>
        <s v="L0137"/>
        <s v="L0138"/>
        <s v="L0139"/>
        <s v="L0140"/>
        <s v="L0141"/>
        <s v="L0142"/>
        <s v="L0143"/>
        <s v="L0144"/>
        <s v="L0145"/>
        <s v="L0146"/>
        <s v="L0147"/>
        <s v="L0148"/>
        <s v="L0149"/>
        <s v="L0150"/>
        <s v="L0151"/>
        <s v="L0152"/>
        <s v="L0153"/>
        <s v="L0154"/>
        <s v="L0155"/>
        <s v="L0156"/>
        <s v="L0157"/>
        <s v="L0158"/>
        <s v="L0159"/>
        <s v="L0160"/>
        <s v="L0161"/>
        <s v="L0162"/>
        <s v="L0163"/>
        <s v="L0164"/>
        <s v="L0165"/>
        <s v="L0166"/>
        <s v="L0167"/>
        <s v="L0168"/>
        <s v="L0169"/>
        <s v="L0170"/>
        <s v="L0171"/>
        <s v="L0172"/>
        <s v="L0173"/>
        <s v="L0174"/>
        <s v="L0175"/>
        <s v="L0176"/>
        <s v="L0177"/>
        <s v="L0178"/>
        <s v="L0179"/>
        <s v="L0180"/>
        <s v="L0181"/>
        <s v="L0182"/>
        <s v="L0183"/>
        <s v="L0184"/>
        <s v="L0185"/>
        <s v="L0186"/>
        <s v="L0187"/>
        <s v="L0188"/>
        <s v="L0189"/>
        <s v="L0190"/>
        <s v="L0191"/>
        <s v="L0192"/>
        <s v="L0193"/>
        <s v="L0194"/>
        <s v="L0195"/>
        <s v="L0196"/>
        <s v="L0197"/>
        <s v="L0198"/>
        <s v="L0199"/>
        <s v="L0200"/>
        <s v="L0201"/>
        <s v="L0202"/>
        <s v="L0203"/>
        <s v="L0204"/>
        <s v="L0205"/>
        <s v="L0206"/>
        <s v="L0207"/>
        <s v="L0208"/>
        <s v="L0209"/>
        <s v="L0210"/>
        <s v="L0211"/>
        <s v="L0212"/>
        <s v="L0213"/>
        <s v="L0214"/>
        <s v="L0215"/>
        <s v="L0216"/>
        <s v="L0217"/>
        <s v="L0218"/>
        <s v="L0219"/>
        <s v="L0220"/>
        <s v="L0221"/>
        <s v="L0222"/>
        <s v="L0223"/>
        <s v="L0224"/>
        <s v="L0225"/>
        <s v="L0226"/>
        <s v="L0227"/>
        <s v="L0228"/>
        <s v="L0229"/>
        <s v="L0230"/>
        <s v="L0231"/>
        <s v="L0232"/>
        <s v="L0233"/>
        <s v="L0234"/>
        <s v="L0235"/>
        <s v="L0236"/>
        <s v="L0237"/>
        <s v="L0238"/>
        <s v="L0239"/>
        <s v="L0240"/>
        <s v="L0241"/>
        <s v="L0242"/>
        <s v="L0243"/>
        <s v="L0244"/>
        <s v="L0245"/>
        <s v="L0246"/>
        <s v="L0247"/>
        <s v="L0248"/>
        <s v="L0249"/>
        <s v="L0250"/>
        <s v="L0251"/>
        <s v="L0252"/>
        <s v="L0253"/>
        <s v="L0254"/>
        <s v="L0255"/>
        <s v="L0256"/>
        <s v="L0257"/>
        <s v="L0258"/>
        <s v="L0259"/>
        <s v="L0260"/>
        <s v="L0261"/>
        <s v="L0262"/>
        <s v="L0263"/>
        <s v="L0264"/>
        <s v="L0265"/>
        <s v="L0266"/>
        <s v="L0267"/>
        <s v="L0268"/>
        <s v="L0269"/>
        <s v="L0270"/>
        <s v="L0271"/>
        <s v="L0272"/>
        <s v="L0273"/>
        <s v="L0274"/>
        <s v="L0275"/>
        <s v="L0276"/>
        <s v="L0277"/>
        <s v="L0278"/>
        <s v="L0279"/>
        <s v="L0280"/>
        <s v="L0281"/>
        <s v="L0282"/>
        <s v="L0283"/>
        <s v="L0284"/>
        <s v="L0285"/>
        <s v="L0286"/>
        <s v="L0287"/>
        <s v="L0288"/>
        <s v="L0289"/>
        <s v="L0290"/>
        <s v="L0291"/>
        <s v="L0292"/>
        <s v="L0293"/>
        <s v="L0294"/>
        <s v="L0295"/>
        <s v="L0296"/>
        <s v="L0297"/>
        <s v="L0298"/>
        <s v="L0299"/>
        <s v="L0300"/>
        <s v="L0301"/>
        <s v="L0302"/>
        <s v="L0303"/>
        <s v="L0304"/>
        <s v="L0305"/>
        <s v="L0306"/>
        <s v="L0307"/>
        <s v="L0308"/>
        <s v="L0309"/>
        <s v="L0310"/>
        <s v="L0311"/>
        <s v="L0312"/>
        <s v="L0313"/>
        <s v="L0314"/>
        <s v="L0315"/>
        <s v="L0316"/>
        <s v="L0317"/>
        <s v="L0318"/>
        <s v="L0319"/>
        <s v="L0320"/>
        <s v="L0321"/>
        <s v="L0322"/>
        <s v="L0323"/>
        <s v="L0324"/>
        <s v="L0325"/>
        <s v="L0326"/>
        <s v="L0327"/>
        <s v="L0328"/>
        <s v="L0329"/>
        <s v="L0330"/>
        <s v="L0331"/>
        <s v="L0332"/>
        <s v="L0333"/>
        <s v="L0334"/>
        <s v="L0335"/>
        <s v="L0336"/>
        <s v="L0337"/>
        <s v="L0338"/>
        <s v="L0339"/>
        <s v="L0340"/>
        <s v="L0341"/>
        <s v="L0342"/>
        <s v="L0343"/>
        <s v="L0344"/>
        <s v="L0345"/>
        <s v="L0346"/>
        <s v="L0347"/>
        <s v="L0348"/>
        <s v="L0349"/>
        <s v="L0350"/>
        <s v="L0351"/>
        <s v="L0352"/>
        <s v="L0353"/>
        <s v="L0354"/>
        <s v="L0355"/>
        <s v="L0356"/>
        <s v="L0357"/>
        <s v="L0358"/>
        <s v="L0359"/>
        <s v="L0360"/>
        <s v="L0361"/>
        <s v="L0362"/>
        <s v="L0363"/>
        <s v="L0364"/>
        <s v="L0365"/>
        <s v="L0366"/>
        <s v="L0367"/>
        <s v="L0368"/>
        <s v="L0369"/>
        <s v="L0370"/>
        <s v="L0371"/>
        <s v="L0372"/>
        <s v="L0373"/>
        <s v="L0374"/>
        <s v="L0375"/>
        <s v="L0376"/>
        <s v="L0377"/>
        <s v="L0378"/>
        <s v="L0379"/>
        <s v="L0380"/>
        <s v="L0381"/>
        <s v="L0382"/>
        <s v="L0383"/>
        <s v="L0384"/>
        <s v="L0385"/>
        <s v="L0386"/>
        <s v="L0387"/>
        <s v="L0388"/>
        <s v="L0389"/>
        <s v="L0390"/>
        <s v="L0391"/>
        <s v="L0392"/>
        <s v="L0393"/>
        <s v="L0394"/>
        <s v="L0395"/>
        <s v="L0396"/>
        <s v="L0397"/>
        <s v="L0398"/>
        <s v="L0399"/>
        <s v="L0400"/>
        <s v="L0401"/>
        <s v="L0402"/>
        <s v="L0403"/>
        <s v="L0404"/>
        <s v="L0405"/>
        <s v="L0406"/>
        <s v="L0407"/>
        <s v="L0408"/>
        <s v="L0409"/>
        <s v="L0410"/>
        <s v="L0411"/>
        <s v="L0412"/>
        <s v="L0413"/>
        <s v="L0414"/>
        <s v="L0415"/>
        <s v="L0416"/>
        <s v="L0417"/>
        <s v="L0418"/>
        <s v="L0419"/>
        <s v="L0420"/>
        <s v="L0421"/>
        <s v="L0422"/>
        <s v="L0423"/>
        <s v="L0424"/>
        <s v="L0425"/>
        <s v="L0426"/>
        <s v="L0427"/>
        <s v="L0428"/>
        <s v="L0429"/>
        <s v="L0430"/>
        <s v="L0431"/>
        <s v="L0432"/>
        <s v="L0433"/>
        <s v="L0434"/>
        <s v="L0435"/>
        <s v="L0436"/>
        <s v="L0437"/>
        <s v="L0438"/>
        <s v="L0439"/>
        <s v="L0440"/>
        <s v="L0441"/>
        <s v="L0442"/>
        <s v="L0443"/>
        <s v="L0444"/>
        <s v="L0445"/>
        <s v="L0446"/>
        <s v="L0447"/>
        <s v="L0448"/>
        <s v="L0449"/>
        <s v="L0450"/>
        <s v="L0451"/>
        <s v="L0452"/>
        <s v="L0453"/>
        <s v="L0454"/>
        <s v="L0455"/>
        <s v="L0456"/>
        <s v="L0457"/>
        <s v="L0458"/>
        <s v="L0459"/>
        <s v="L0460"/>
        <s v="L0461"/>
        <s v="L0462"/>
        <s v="L0463"/>
        <s v="L0464"/>
        <s v="L0465"/>
        <s v="L0466"/>
        <s v="L0467"/>
        <s v="L0468"/>
        <s v="L0469"/>
        <s v="L0470"/>
        <s v="L0471"/>
        <s v="L0472"/>
        <s v="L0473"/>
        <s v="L0474"/>
        <s v="L0475"/>
        <s v="L0476"/>
        <s v="L0477"/>
        <s v="L0478"/>
        <s v="L0479"/>
        <s v="L0480"/>
        <s v="L0481"/>
        <s v="L0482"/>
        <s v="L0483"/>
        <s v="L0484"/>
        <s v="L0485"/>
        <s v="L0486"/>
        <s v="L0487"/>
        <s v="L0488"/>
        <s v="L0489"/>
        <s v="L0490"/>
        <s v="L0491"/>
        <s v="L0492"/>
        <s v="L0493"/>
        <s v="L0494"/>
        <s v="L0495"/>
        <s v="L0496"/>
        <s v="L0497"/>
        <s v="L0498"/>
        <s v="L0499"/>
        <s v="L0500"/>
        <s v="L0501"/>
        <s v="L0502"/>
        <s v="L0503"/>
        <s v="L0504"/>
        <s v="L0505"/>
        <s v="L0506"/>
        <s v="L0507"/>
        <s v="L0508"/>
        <s v="L0509"/>
        <s v="L0510"/>
        <s v="L0511"/>
        <s v="L0512"/>
        <s v="L0513"/>
        <s v="L0514"/>
        <s v="L0515"/>
        <s v="L0516"/>
        <s v="L0517"/>
        <s v="L0518"/>
        <s v="L0519"/>
        <s v="L0520"/>
        <s v="L0521"/>
        <s v="L0522"/>
        <s v="L0523"/>
        <s v="L0524"/>
        <s v="L0525"/>
        <s v="L0526"/>
        <s v="L0527"/>
        <s v="L0528"/>
        <s v="L0529"/>
        <s v="L0530"/>
        <s v="L0531"/>
        <s v="L0532"/>
        <s v="L0533"/>
        <s v="L0534"/>
        <s v="L0535"/>
        <s v="L0536"/>
        <s v="L0537"/>
        <s v="L0538"/>
        <s v="L0539"/>
        <s v="L0540"/>
        <s v="L0541"/>
        <s v="L0542"/>
        <s v="L0543"/>
        <s v="L0544"/>
        <s v="L0545"/>
        <s v="L0546"/>
        <s v="L0547"/>
        <s v="L0548"/>
        <s v="L0549"/>
        <s v="L0550"/>
        <s v="L0551"/>
        <s v="L0552"/>
        <s v="L0553"/>
        <s v="L0554"/>
        <s v="L0555"/>
        <s v="L0556"/>
        <s v="L0557"/>
        <s v="L0558"/>
        <s v="L0559"/>
        <s v="L0560"/>
        <s v="L0561"/>
        <s v="L0562"/>
        <s v="L0563"/>
        <s v="L0564"/>
        <s v="L0565"/>
        <s v="L0566"/>
        <s v="L0567"/>
        <s v="L0568"/>
        <s v="L0569"/>
        <s v="L0570"/>
        <s v="L0571"/>
        <s v="L0572"/>
        <s v="L0573"/>
        <s v="L0574"/>
        <s v="L0575"/>
        <s v="L0576"/>
        <s v="L0577"/>
        <s v="L0578"/>
        <s v="L0579"/>
        <s v="L0580"/>
        <s v="L0581"/>
        <s v="L0582"/>
        <s v="L0583"/>
        <s v="L0584"/>
        <s v="L0585"/>
        <s v="L0586"/>
        <s v="L0587"/>
        <s v="L0588"/>
        <s v="L0589"/>
        <s v="L0590"/>
        <s v="L0591"/>
        <s v="L0592"/>
        <s v="L0593"/>
        <s v="L0594"/>
        <s v="L0595"/>
        <s v="L0596"/>
        <s v="L0597"/>
        <s v="L0598"/>
        <s v="L0599"/>
        <s v="L0600"/>
        <s v="L0601"/>
        <s v="L0602"/>
        <s v="L0603"/>
        <s v="L0604"/>
        <s v="L0605"/>
        <s v="L0606"/>
        <s v="L0607"/>
        <s v="L0608"/>
        <s v="L0609"/>
        <s v="L0610"/>
        <s v="L0611"/>
        <s v="L0612"/>
        <s v="L0613"/>
        <s v="L0614"/>
        <s v="L0615"/>
        <s v="L0616"/>
        <s v="L0617"/>
        <s v="L0618"/>
        <s v="L0619"/>
        <s v="L0620"/>
        <s v="L0621"/>
        <s v="L0622"/>
        <s v="L0623"/>
        <s v="L0624"/>
        <s v="L0625"/>
        <s v="L0626"/>
        <s v="L0627"/>
        <s v="L0628"/>
        <s v="L0629"/>
        <s v="L0630"/>
        <s v="L0631"/>
        <s v="L0632"/>
        <s v="L0633"/>
        <s v="L0634"/>
        <s v="L0635"/>
        <s v="L0636"/>
        <s v="L0637"/>
        <s v="L0638"/>
        <s v="L0639"/>
        <s v="L0640"/>
        <s v="L0641"/>
        <s v="L0642"/>
        <s v="L0643"/>
        <s v="L0644"/>
        <s v="L0645"/>
        <s v="L0646"/>
        <s v="L0647"/>
        <s v="L0648"/>
        <s v="L0649"/>
        <s v="L0650"/>
        <s v="L0651"/>
        <s v="L0652"/>
        <s v="L0653"/>
        <s v="L0654"/>
        <s v="L0655"/>
        <s v="L0656"/>
        <s v="L0657"/>
        <s v="L0658"/>
        <s v="L0659"/>
        <s v="L0660"/>
        <s v="L0661"/>
        <s v="L0662"/>
        <s v="L0663"/>
        <s v="L0664"/>
        <s v="L0665"/>
        <s v="L0666"/>
        <s v="L0667"/>
        <s v="L0668"/>
        <s v="L0669"/>
        <s v="L0670"/>
        <s v="L0671"/>
        <s v="L0672"/>
        <s v="L0673"/>
        <s v="L0674"/>
        <s v="L0675"/>
        <s v="L0676"/>
        <s v="L0677"/>
        <s v="L0678"/>
        <s v="L0679"/>
        <s v="L0680"/>
        <s v="L0681"/>
        <s v="L0682"/>
        <s v="L0683"/>
        <s v="L0684"/>
        <s v="L0685"/>
        <s v="L0686"/>
        <s v="L0687"/>
        <s v="L0688"/>
        <s v="L0689"/>
        <s v="L0690"/>
        <s v="L0691"/>
        <s v="L0692"/>
        <s v="L0693"/>
        <s v="L0694"/>
        <s v="L0695"/>
        <s v="L0696"/>
        <s v="L0697"/>
        <s v="L0698"/>
        <s v="L0699"/>
        <s v="L0700"/>
        <s v="L0701"/>
        <s v="L0702"/>
        <s v="L0703"/>
        <s v="L0704"/>
        <s v="L0705"/>
        <s v="L0706"/>
        <s v="L0707"/>
        <s v="L0708"/>
        <s v="L0709"/>
        <s v="L0710"/>
        <s v="L0711"/>
        <s v="L0712"/>
        <s v="L0713"/>
        <s v="L0714"/>
        <s v="L0715"/>
        <s v="L0716"/>
        <s v="L0717"/>
        <s v="L0718"/>
        <s v="L0719"/>
        <s v="L0720"/>
        <s v="L0721"/>
        <s v="L0722"/>
        <s v="L0723"/>
        <s v="L0724"/>
        <s v="L0725"/>
        <s v="L0726"/>
        <s v="L0727"/>
        <s v="L0728"/>
        <s v="L0729"/>
        <s v="L0730"/>
        <s v="L0731"/>
        <s v="L0732"/>
        <s v="L0733"/>
        <s v="L0734"/>
        <s v="L0735"/>
        <s v="L0736"/>
        <s v="L0737"/>
        <s v="L0738"/>
        <s v="L0739"/>
        <s v="L0740"/>
        <s v="L0741"/>
        <s v="L0742"/>
        <s v="L0743"/>
        <s v="L0744"/>
        <s v="L0745"/>
        <s v="L0746"/>
        <s v="L0747"/>
        <s v="L0748"/>
        <s v="L0749"/>
        <s v="L0750"/>
        <s v="L0751"/>
        <s v="L0752"/>
        <s v="L0753"/>
        <s v="L0754"/>
        <s v="L0755"/>
        <s v="L0756"/>
        <s v="L0757"/>
        <s v="L0758"/>
        <s v="L0759"/>
        <s v="L0760"/>
        <s v="L0761"/>
        <s v="L0762"/>
        <s v="L0763"/>
        <s v="L0764"/>
        <s v="L0765"/>
        <s v="L0766"/>
        <s v="L0767"/>
        <s v="L0768"/>
        <s v="L0769"/>
        <s v="L0770"/>
        <s v="L0771"/>
        <s v="L0772"/>
        <s v="L0773"/>
        <s v="L0774"/>
        <s v="L0775"/>
        <s v="L0776"/>
        <s v="L0777"/>
        <s v="L0778"/>
        <s v="L0779"/>
        <s v="L0780"/>
        <s v="L0781"/>
        <s v="L0782"/>
        <s v="L0783"/>
        <s v="L0784"/>
        <s v="L0785"/>
        <s v="L0786"/>
        <s v="L0787"/>
        <s v="L0788"/>
        <s v="L0789"/>
        <s v="L0790"/>
        <s v="L0791"/>
        <s v="L0792"/>
        <s v="L0793"/>
        <s v="L0794"/>
        <s v="L0795"/>
        <s v="L0796"/>
        <s v="L0797"/>
        <s v="L0798"/>
        <s v="L0799"/>
        <s v="L0800"/>
        <s v="L0801"/>
        <s v="L0802"/>
        <s v="L0803"/>
        <s v="L0804"/>
        <s v="L0805"/>
        <s v="L0806"/>
        <s v="L0807"/>
        <s v="L0808"/>
        <s v="L0809"/>
        <s v="L0810"/>
        <s v="L0811"/>
        <s v="L0812"/>
        <s v="L0813"/>
        <s v="L0814"/>
        <s v="L0815"/>
        <s v="L0816"/>
        <s v="L0817"/>
        <s v="L0818"/>
        <s v="L0819"/>
        <s v="L0820"/>
        <s v="L0821"/>
        <s v="L0822"/>
        <s v="L0823"/>
        <s v="L0824"/>
        <s v="L0825"/>
        <s v="L0826"/>
        <s v="L0827"/>
        <s v="L0828"/>
        <s v="L0829"/>
        <s v="L0830"/>
        <s v="L0831"/>
        <s v="L0832"/>
        <s v="L0833"/>
        <s v="L0834"/>
        <s v="L0835"/>
        <s v="L0836"/>
        <s v="L0837"/>
        <s v="L0838"/>
        <s v="L0839"/>
        <s v="L0840"/>
        <s v="L0841"/>
        <s v="L0842"/>
        <s v="L0843"/>
        <s v="L0844"/>
        <s v="L0845"/>
        <s v="L0846"/>
        <s v="L0847"/>
        <s v="L0848"/>
        <s v="L0849"/>
        <s v="L0850"/>
        <s v="L0851"/>
        <s v="L0852"/>
        <s v="L0853"/>
        <s v="L0854"/>
        <s v="L0855"/>
        <s v="L0856"/>
        <s v="L0857"/>
        <s v="L0858"/>
        <s v="L0859"/>
        <s v="L0860"/>
        <s v="L0861"/>
        <s v="L0862"/>
        <s v="L0863"/>
        <s v="L0864"/>
        <s v="L0865"/>
        <s v="L0866"/>
        <s v="L0867"/>
        <s v="L0868"/>
        <s v="L0869"/>
        <s v="L0870"/>
        <s v="L0871"/>
        <s v="L0872"/>
        <s v="L0873"/>
        <s v="L0874"/>
        <s v="L0875"/>
        <s v="L0876"/>
        <s v="L0877"/>
        <s v="L0878"/>
        <s v="L0879"/>
        <s v="L0880"/>
        <s v="L0881"/>
        <s v="L0882"/>
        <s v="L0883"/>
        <s v="L0884"/>
        <s v="L0885"/>
        <s v="L0886"/>
        <s v="L0887"/>
        <s v="L0888"/>
        <s v="L0889"/>
        <s v="L0890"/>
        <s v="L0891"/>
        <s v="L0892"/>
        <s v="L0893"/>
        <s v="L0894"/>
        <s v="L0895"/>
        <s v="L0896"/>
        <s v="L0897"/>
        <s v="L0898"/>
        <s v="L0899"/>
        <s v="L0900"/>
        <s v="L0901"/>
        <s v="L0902"/>
        <s v="L0903"/>
        <s v="L0904"/>
        <s v="L0905"/>
        <s v="L0906"/>
        <s v="L0907"/>
        <s v="L0908"/>
        <s v="L0909"/>
        <s v="L0910"/>
        <s v="L0911"/>
        <s v="L0912"/>
        <s v="L0913"/>
        <s v="L0914"/>
        <s v="L0915"/>
        <s v="L0916"/>
        <s v="L0917"/>
        <s v="L0918"/>
        <s v="L0919"/>
        <s v="L0920"/>
        <s v="L0921"/>
        <s v="L0922"/>
        <s v="L0923"/>
        <s v="L0924"/>
        <s v="L0925"/>
        <s v="L0926"/>
        <s v="L0927"/>
        <s v="L0928"/>
        <s v="L0929"/>
        <s v="L0930"/>
        <s v="L0931"/>
        <s v="L0932"/>
        <s v="L0933"/>
        <s v="L0934"/>
        <s v="L0935"/>
        <s v="L0936"/>
        <s v="L0937"/>
        <s v="L0938"/>
        <s v="L0939"/>
        <s v="L0940"/>
        <s v="L0941"/>
        <s v="L0942"/>
        <s v="L0943"/>
        <s v="L0944"/>
        <s v="L0945"/>
        <s v="L0946"/>
        <s v="L0947"/>
        <s v="L0948"/>
        <s v="L0949"/>
        <s v="L0950"/>
        <s v="L0951"/>
        <s v="L0952"/>
        <s v="L0953"/>
        <s v="L0954"/>
        <s v="L0955"/>
        <s v="L0956"/>
        <s v="L0957"/>
        <s v="L0958"/>
        <s v="L0959"/>
        <s v="L0960"/>
        <s v="L0961"/>
        <s v="L0962"/>
        <s v="L0963"/>
        <s v="L0964"/>
        <s v="L0965"/>
        <s v="L0966"/>
        <s v="L0967"/>
        <s v="L0968"/>
        <s v="L0969"/>
        <s v="L0970"/>
        <s v="L0971"/>
        <s v="L0972"/>
        <s v="L0973"/>
        <s v="L0974"/>
        <s v="L0975"/>
        <s v="L0976"/>
        <s v="L0977"/>
        <s v="L0978"/>
        <s v="L0979"/>
        <s v="L0980"/>
        <s v="L0981"/>
        <s v="L0982"/>
        <s v="L0983"/>
        <s v="L0984"/>
        <s v="L0985"/>
        <s v="L0986"/>
        <s v="L0987"/>
        <s v="L0988"/>
        <s v="L0989"/>
        <s v="L0990"/>
        <s v="L0991"/>
        <s v="L0992"/>
        <s v="L0993"/>
        <s v="L0994"/>
        <s v="L0995"/>
        <s v="L0996"/>
        <s v="L0997"/>
        <s v="L0998"/>
        <s v="L0999"/>
        <s v="L1000"/>
      </sharedItems>
    </cacheField>
    <cacheField name="Lead_Date" numFmtId="164">
      <sharedItems containsSemiMixedTypes="0" containsNonDate="0" containsDate="1" containsString="0" minDate="2026-01-01T00:00:00" maxDate="2026-08-16T00:00:00"/>
    </cacheField>
    <cacheField name="Lead_Source" numFmtId="0">
      <sharedItems count="7">
        <s v="Google"/>
        <s v="Referral"/>
        <s v="Property Portal"/>
        <s v="Instagram"/>
        <s v="Website"/>
        <s v="Facebook"/>
        <s v="Unknown"/>
      </sharedItems>
    </cacheField>
    <cacheField name="Location" numFmtId="0">
      <sharedItems count="12">
        <s v="Thudiyalur"/>
        <s v="periyanayakanpalayam"/>
        <s v="Saravanampatti"/>
        <s v="Ramanathapuram"/>
        <s v="panneermadai"/>
        <s v="Coimbatore"/>
        <s v="Unknown"/>
        <s v="Tambaram" u="1"/>
        <s v="Avadi" u="1"/>
        <s v="Chengalpattu" u="1"/>
        <s v="OMR" u="1"/>
        <s v="Chennai" u="1"/>
      </sharedItems>
    </cacheField>
    <cacheField name="Property_Type" numFmtId="0">
      <sharedItems count="4">
        <s v="Apartment"/>
        <s v="Plot"/>
        <s v="Villa"/>
        <s v="Unknown"/>
      </sharedItems>
    </cacheField>
    <cacheField name="Budget" numFmtId="43">
      <sharedItems containsSemiMixedTypes="0" containsString="0" containsNumber="1" containsInteger="1" minValue="1549522" maxValue="17876925"/>
    </cacheField>
    <cacheField name="Call_Attempts" numFmtId="0">
      <sharedItems containsSemiMixedTypes="0" containsString="0" containsNumber="1" containsInteger="1" minValue="1" maxValue="6" count="6">
        <n v="5"/>
        <n v="2"/>
        <n v="4"/>
        <n v="6"/>
        <n v="3"/>
        <n v="1"/>
      </sharedItems>
    </cacheField>
    <cacheField name="Call_Status" numFmtId="0">
      <sharedItems/>
    </cacheField>
    <cacheField name="Follow_Up" numFmtId="0">
      <sharedItems/>
    </cacheField>
    <cacheField name="Site_Visit" numFmtId="0">
      <sharedItems count="2">
        <s v="No"/>
        <s v="Yes"/>
      </sharedItems>
    </cacheField>
    <cacheField name="Lead_Status" numFmtId="0">
      <sharedItems count="3">
        <s v="Follow-up"/>
        <s v="Converted"/>
        <s v="Lost"/>
      </sharedItems>
    </cacheField>
    <cacheField name="Sales_Value" numFmtId="0">
      <sharedItems containsString="0" containsBlank="1" containsNumber="1" containsInteger="1" minValue="1500000" maxValue="16950000"/>
    </cacheField>
    <cacheField name="Budget_Range" numFmtId="0">
      <sharedItems count="5">
        <s v="50L-80L"/>
        <s v="30L-50L"/>
        <s v="Below 30L"/>
        <s v="80L-1.2Cr"/>
        <s v="Above 1.2C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d v="2026-01-01T00:00:00"/>
    <x v="0"/>
    <x v="0"/>
    <x v="0"/>
    <n v="5765637"/>
    <x v="0"/>
    <s v="Connected"/>
    <s v="Yes"/>
    <x v="0"/>
    <x v="0"/>
    <m/>
    <x v="0"/>
  </r>
  <r>
    <x v="1"/>
    <d v="2026-01-01T05:25:46"/>
    <x v="1"/>
    <x v="1"/>
    <x v="0"/>
    <n v="4024374"/>
    <x v="0"/>
    <s v="Connected"/>
    <s v="Yes"/>
    <x v="1"/>
    <x v="0"/>
    <m/>
    <x v="1"/>
  </r>
  <r>
    <x v="2"/>
    <d v="2026-01-01T10:51:32"/>
    <x v="2"/>
    <x v="2"/>
    <x v="1"/>
    <n v="4335056"/>
    <x v="1"/>
    <s v="Connected"/>
    <s v="Yes"/>
    <x v="1"/>
    <x v="1"/>
    <n v="4400000"/>
    <x v="1"/>
  </r>
  <r>
    <x v="3"/>
    <d v="2026-01-01T16:17:18"/>
    <x v="3"/>
    <x v="3"/>
    <x v="0"/>
    <n v="6773587"/>
    <x v="2"/>
    <s v="Not Connected"/>
    <s v="Yes"/>
    <x v="0"/>
    <x v="0"/>
    <m/>
    <x v="0"/>
  </r>
  <r>
    <x v="4"/>
    <d v="2026-01-01T21:43:04"/>
    <x v="4"/>
    <x v="4"/>
    <x v="0"/>
    <n v="3823759"/>
    <x v="2"/>
    <s v="Connected"/>
    <s v="No"/>
    <x v="0"/>
    <x v="2"/>
    <m/>
    <x v="1"/>
  </r>
  <r>
    <x v="5"/>
    <d v="2026-01-02T03:08:50"/>
    <x v="4"/>
    <x v="3"/>
    <x v="2"/>
    <n v="7679328"/>
    <x v="3"/>
    <s v="Connected"/>
    <s v="Yes"/>
    <x v="0"/>
    <x v="0"/>
    <m/>
    <x v="0"/>
  </r>
  <r>
    <x v="6"/>
    <d v="2026-01-02T08:34:36"/>
    <x v="4"/>
    <x v="3"/>
    <x v="0"/>
    <n v="4650654"/>
    <x v="4"/>
    <s v="Not Connected"/>
    <s v="No"/>
    <x v="0"/>
    <x v="2"/>
    <m/>
    <x v="1"/>
  </r>
  <r>
    <x v="7"/>
    <d v="2026-01-02T14:00:22"/>
    <x v="2"/>
    <x v="4"/>
    <x v="2"/>
    <n v="6092036"/>
    <x v="5"/>
    <s v="Not Connected"/>
    <s v="No"/>
    <x v="0"/>
    <x v="2"/>
    <m/>
    <x v="0"/>
  </r>
  <r>
    <x v="8"/>
    <d v="2026-01-02T19:26:08"/>
    <x v="3"/>
    <x v="0"/>
    <x v="0"/>
    <n v="3853392"/>
    <x v="4"/>
    <s v="Connected"/>
    <s v="No"/>
    <x v="0"/>
    <x v="2"/>
    <m/>
    <x v="1"/>
  </r>
  <r>
    <x v="9"/>
    <d v="2026-01-03T00:51:54"/>
    <x v="3"/>
    <x v="1"/>
    <x v="0"/>
    <n v="7690457"/>
    <x v="4"/>
    <s v="Connected"/>
    <s v="Yes"/>
    <x v="0"/>
    <x v="0"/>
    <m/>
    <x v="0"/>
  </r>
  <r>
    <x v="10"/>
    <d v="2026-01-03T06:17:39"/>
    <x v="4"/>
    <x v="0"/>
    <x v="0"/>
    <n v="6654693"/>
    <x v="4"/>
    <s v="Not Connected"/>
    <s v="No"/>
    <x v="0"/>
    <x v="2"/>
    <m/>
    <x v="0"/>
  </r>
  <r>
    <x v="11"/>
    <d v="2026-01-03T11:43:25"/>
    <x v="1"/>
    <x v="2"/>
    <x v="0"/>
    <n v="3293946"/>
    <x v="1"/>
    <s v="Connected"/>
    <s v="Yes"/>
    <x v="0"/>
    <x v="0"/>
    <m/>
    <x v="1"/>
  </r>
  <r>
    <x v="12"/>
    <d v="2026-01-03T17:09:11"/>
    <x v="2"/>
    <x v="2"/>
    <x v="1"/>
    <n v="2142927"/>
    <x v="0"/>
    <s v="Connected"/>
    <s v="Yes"/>
    <x v="0"/>
    <x v="0"/>
    <m/>
    <x v="2"/>
  </r>
  <r>
    <x v="13"/>
    <d v="2026-01-03T22:34:57"/>
    <x v="0"/>
    <x v="0"/>
    <x v="0"/>
    <n v="4266389"/>
    <x v="3"/>
    <s v="Connected"/>
    <s v="Yes"/>
    <x v="0"/>
    <x v="0"/>
    <m/>
    <x v="1"/>
  </r>
  <r>
    <x v="14"/>
    <d v="2026-01-04T04:00:43"/>
    <x v="4"/>
    <x v="3"/>
    <x v="0"/>
    <n v="4388509"/>
    <x v="5"/>
    <s v="Not Connected"/>
    <s v="No"/>
    <x v="0"/>
    <x v="2"/>
    <m/>
    <x v="1"/>
  </r>
  <r>
    <x v="15"/>
    <d v="2026-01-04T09:26:29"/>
    <x v="4"/>
    <x v="2"/>
    <x v="0"/>
    <n v="3483779"/>
    <x v="5"/>
    <s v="Connected"/>
    <s v="Yes"/>
    <x v="1"/>
    <x v="0"/>
    <m/>
    <x v="1"/>
  </r>
  <r>
    <x v="16"/>
    <d v="2026-01-04T14:52:15"/>
    <x v="0"/>
    <x v="0"/>
    <x v="0"/>
    <n v="8994134"/>
    <x v="5"/>
    <s v="Not Connected"/>
    <s v="No"/>
    <x v="0"/>
    <x v="2"/>
    <m/>
    <x v="3"/>
  </r>
  <r>
    <x v="17"/>
    <d v="2026-01-04T20:18:01"/>
    <x v="5"/>
    <x v="1"/>
    <x v="1"/>
    <n v="4123854"/>
    <x v="2"/>
    <s v="Connected"/>
    <s v="Yes"/>
    <x v="1"/>
    <x v="1"/>
    <n v="3900000"/>
    <x v="1"/>
  </r>
  <r>
    <x v="18"/>
    <d v="2026-01-05T01:43:47"/>
    <x v="5"/>
    <x v="2"/>
    <x v="0"/>
    <n v="4983456"/>
    <x v="4"/>
    <s v="Not Connected"/>
    <s v="Yes"/>
    <x v="0"/>
    <x v="0"/>
    <m/>
    <x v="1"/>
  </r>
  <r>
    <x v="19"/>
    <d v="2026-01-05T07:09:33"/>
    <x v="0"/>
    <x v="0"/>
    <x v="2"/>
    <n v="11879960"/>
    <x v="4"/>
    <s v="Connected"/>
    <s v="Yes"/>
    <x v="1"/>
    <x v="0"/>
    <m/>
    <x v="3"/>
  </r>
  <r>
    <x v="20"/>
    <d v="2026-01-05T12:35:19"/>
    <x v="3"/>
    <x v="3"/>
    <x v="1"/>
    <n v="5251672"/>
    <x v="1"/>
    <s v="Connected"/>
    <s v="No"/>
    <x v="0"/>
    <x v="2"/>
    <m/>
    <x v="0"/>
  </r>
  <r>
    <x v="21"/>
    <d v="2026-01-05T18:01:05"/>
    <x v="4"/>
    <x v="5"/>
    <x v="2"/>
    <n v="7624777"/>
    <x v="4"/>
    <s v="Connected"/>
    <s v="Yes"/>
    <x v="1"/>
    <x v="1"/>
    <n v="7450000"/>
    <x v="0"/>
  </r>
  <r>
    <x v="22"/>
    <d v="2026-01-05T23:26:51"/>
    <x v="0"/>
    <x v="2"/>
    <x v="1"/>
    <n v="5514266"/>
    <x v="1"/>
    <s v="Connected"/>
    <s v="Yes"/>
    <x v="0"/>
    <x v="0"/>
    <m/>
    <x v="0"/>
  </r>
  <r>
    <x v="23"/>
    <d v="2026-01-06T04:52:37"/>
    <x v="0"/>
    <x v="2"/>
    <x v="0"/>
    <n v="4729578"/>
    <x v="1"/>
    <s v="Connected"/>
    <s v="No"/>
    <x v="1"/>
    <x v="2"/>
    <m/>
    <x v="1"/>
  </r>
  <r>
    <x v="24"/>
    <d v="2026-01-06T10:18:23"/>
    <x v="5"/>
    <x v="2"/>
    <x v="0"/>
    <n v="3095556"/>
    <x v="2"/>
    <s v="Connected"/>
    <s v="Yes"/>
    <x v="0"/>
    <x v="0"/>
    <m/>
    <x v="1"/>
  </r>
  <r>
    <x v="25"/>
    <d v="2026-01-06T15:44:09"/>
    <x v="2"/>
    <x v="1"/>
    <x v="0"/>
    <n v="8992357"/>
    <x v="3"/>
    <s v="Connected"/>
    <s v="No"/>
    <x v="0"/>
    <x v="2"/>
    <m/>
    <x v="3"/>
  </r>
  <r>
    <x v="26"/>
    <d v="2026-01-06T21:09:55"/>
    <x v="4"/>
    <x v="2"/>
    <x v="2"/>
    <n v="6652755"/>
    <x v="0"/>
    <s v="Connected"/>
    <s v="Yes"/>
    <x v="0"/>
    <x v="1"/>
    <n v="6550000"/>
    <x v="0"/>
  </r>
  <r>
    <x v="27"/>
    <d v="2026-01-07T02:35:41"/>
    <x v="5"/>
    <x v="4"/>
    <x v="1"/>
    <n v="2929210"/>
    <x v="0"/>
    <s v="Connected"/>
    <s v="Yes"/>
    <x v="1"/>
    <x v="1"/>
    <n v="2800000"/>
    <x v="2"/>
  </r>
  <r>
    <x v="28"/>
    <d v="2026-01-07T08:01:26"/>
    <x v="3"/>
    <x v="5"/>
    <x v="0"/>
    <n v="5838951"/>
    <x v="1"/>
    <s v="Not Connected"/>
    <s v="No"/>
    <x v="0"/>
    <x v="2"/>
    <m/>
    <x v="0"/>
  </r>
  <r>
    <x v="29"/>
    <d v="2026-01-07T13:27:12"/>
    <x v="4"/>
    <x v="4"/>
    <x v="2"/>
    <n v="7094409"/>
    <x v="1"/>
    <s v="Not Connected"/>
    <s v="No"/>
    <x v="0"/>
    <x v="2"/>
    <m/>
    <x v="0"/>
  </r>
  <r>
    <x v="30"/>
    <d v="2026-01-07T18:52:58"/>
    <x v="3"/>
    <x v="0"/>
    <x v="0"/>
    <n v="6283587"/>
    <x v="2"/>
    <s v="Connected"/>
    <s v="No"/>
    <x v="1"/>
    <x v="1"/>
    <n v="6200000"/>
    <x v="0"/>
  </r>
  <r>
    <x v="31"/>
    <d v="2026-01-08T00:18:44"/>
    <x v="4"/>
    <x v="1"/>
    <x v="2"/>
    <n v="7513083"/>
    <x v="0"/>
    <s v="Connected"/>
    <s v="Yes"/>
    <x v="1"/>
    <x v="0"/>
    <m/>
    <x v="0"/>
  </r>
  <r>
    <x v="32"/>
    <d v="2026-01-08T05:44:30"/>
    <x v="4"/>
    <x v="0"/>
    <x v="0"/>
    <n v="5898950"/>
    <x v="5"/>
    <s v="Not Connected"/>
    <s v="Yes"/>
    <x v="0"/>
    <x v="0"/>
    <m/>
    <x v="0"/>
  </r>
  <r>
    <x v="33"/>
    <d v="2026-01-08T11:10:16"/>
    <x v="1"/>
    <x v="0"/>
    <x v="1"/>
    <n v="5522155"/>
    <x v="1"/>
    <s v="Connected"/>
    <s v="No"/>
    <x v="0"/>
    <x v="2"/>
    <m/>
    <x v="0"/>
  </r>
  <r>
    <x v="34"/>
    <d v="2026-01-08T16:36:02"/>
    <x v="1"/>
    <x v="0"/>
    <x v="2"/>
    <n v="9511931"/>
    <x v="5"/>
    <s v="Connected"/>
    <s v="Yes"/>
    <x v="0"/>
    <x v="0"/>
    <m/>
    <x v="3"/>
  </r>
  <r>
    <x v="35"/>
    <d v="2026-01-08T22:01:48"/>
    <x v="2"/>
    <x v="3"/>
    <x v="0"/>
    <n v="4079525"/>
    <x v="4"/>
    <s v="Connected"/>
    <s v="No"/>
    <x v="1"/>
    <x v="1"/>
    <n v="3900000"/>
    <x v="1"/>
  </r>
  <r>
    <x v="36"/>
    <d v="2026-01-09T03:27:34"/>
    <x v="0"/>
    <x v="5"/>
    <x v="0"/>
    <n v="3854568"/>
    <x v="1"/>
    <s v="Connected"/>
    <s v="Yes"/>
    <x v="1"/>
    <x v="1"/>
    <n v="3900000"/>
    <x v="1"/>
  </r>
  <r>
    <x v="37"/>
    <d v="2026-01-09T08:53:20"/>
    <x v="4"/>
    <x v="3"/>
    <x v="0"/>
    <n v="3061842"/>
    <x v="1"/>
    <s v="Not Connected"/>
    <s v="No"/>
    <x v="0"/>
    <x v="2"/>
    <m/>
    <x v="1"/>
  </r>
  <r>
    <x v="38"/>
    <d v="2026-01-09T14:19:06"/>
    <x v="3"/>
    <x v="0"/>
    <x v="0"/>
    <n v="4789135"/>
    <x v="5"/>
    <s v="Connected"/>
    <s v="Yes"/>
    <x v="0"/>
    <x v="0"/>
    <m/>
    <x v="1"/>
  </r>
  <r>
    <x v="39"/>
    <d v="2026-01-09T19:44:52"/>
    <x v="5"/>
    <x v="5"/>
    <x v="0"/>
    <n v="4630357"/>
    <x v="1"/>
    <s v="Not Connected"/>
    <s v="Yes"/>
    <x v="0"/>
    <x v="0"/>
    <m/>
    <x v="1"/>
  </r>
  <r>
    <x v="40"/>
    <d v="2026-01-10T01:10:38"/>
    <x v="4"/>
    <x v="1"/>
    <x v="1"/>
    <n v="2237090"/>
    <x v="0"/>
    <s v="Connected"/>
    <s v="Yes"/>
    <x v="1"/>
    <x v="1"/>
    <n v="2200000"/>
    <x v="2"/>
  </r>
  <r>
    <x v="41"/>
    <d v="2026-01-10T06:36:24"/>
    <x v="5"/>
    <x v="4"/>
    <x v="2"/>
    <n v="6787738"/>
    <x v="5"/>
    <s v="Connected"/>
    <s v="Yes"/>
    <x v="0"/>
    <x v="0"/>
    <m/>
    <x v="0"/>
  </r>
  <r>
    <x v="42"/>
    <d v="2026-01-10T12:02:10"/>
    <x v="4"/>
    <x v="5"/>
    <x v="0"/>
    <n v="4873217"/>
    <x v="4"/>
    <s v="Connected"/>
    <s v="No"/>
    <x v="0"/>
    <x v="2"/>
    <m/>
    <x v="1"/>
  </r>
  <r>
    <x v="43"/>
    <d v="2026-01-10T17:27:56"/>
    <x v="1"/>
    <x v="3"/>
    <x v="0"/>
    <n v="4761446"/>
    <x v="4"/>
    <s v="Connected"/>
    <s v="No"/>
    <x v="0"/>
    <x v="1"/>
    <n v="4650000"/>
    <x v="1"/>
  </r>
  <r>
    <x v="44"/>
    <d v="2026-01-10T22:53:42"/>
    <x v="0"/>
    <x v="2"/>
    <x v="1"/>
    <n v="1930179"/>
    <x v="0"/>
    <s v="Connected"/>
    <s v="Yes"/>
    <x v="0"/>
    <x v="0"/>
    <m/>
    <x v="2"/>
  </r>
  <r>
    <x v="45"/>
    <d v="2026-01-11T04:19:28"/>
    <x v="3"/>
    <x v="3"/>
    <x v="2"/>
    <n v="6280833"/>
    <x v="5"/>
    <s v="Connected"/>
    <s v="Yes"/>
    <x v="1"/>
    <x v="1"/>
    <n v="6600000"/>
    <x v="0"/>
  </r>
  <r>
    <x v="46"/>
    <d v="2026-01-11T09:45:14"/>
    <x v="0"/>
    <x v="0"/>
    <x v="0"/>
    <n v="8409825"/>
    <x v="3"/>
    <s v="Not Connected"/>
    <s v="No"/>
    <x v="0"/>
    <x v="2"/>
    <m/>
    <x v="3"/>
  </r>
  <r>
    <x v="47"/>
    <d v="2026-01-11T15:10:59"/>
    <x v="5"/>
    <x v="0"/>
    <x v="2"/>
    <n v="8283785"/>
    <x v="4"/>
    <s v="Not Connected"/>
    <s v="Yes"/>
    <x v="0"/>
    <x v="0"/>
    <m/>
    <x v="3"/>
  </r>
  <r>
    <x v="48"/>
    <d v="2026-01-11T20:36:45"/>
    <x v="5"/>
    <x v="2"/>
    <x v="0"/>
    <n v="5334875"/>
    <x v="3"/>
    <s v="Connected"/>
    <s v="Yes"/>
    <x v="0"/>
    <x v="0"/>
    <m/>
    <x v="0"/>
  </r>
  <r>
    <x v="49"/>
    <d v="2026-01-12T02:02:31"/>
    <x v="4"/>
    <x v="0"/>
    <x v="0"/>
    <n v="5278800"/>
    <x v="0"/>
    <s v="Connected"/>
    <s v="No"/>
    <x v="0"/>
    <x v="2"/>
    <m/>
    <x v="0"/>
  </r>
  <r>
    <x v="50"/>
    <d v="2026-01-12T07:28:17"/>
    <x v="1"/>
    <x v="2"/>
    <x v="0"/>
    <n v="4410295"/>
    <x v="5"/>
    <s v="Not Connected"/>
    <s v="No"/>
    <x v="0"/>
    <x v="1"/>
    <n v="4300000"/>
    <x v="1"/>
  </r>
  <r>
    <x v="51"/>
    <d v="2026-01-12T12:54:03"/>
    <x v="2"/>
    <x v="1"/>
    <x v="0"/>
    <n v="6458498"/>
    <x v="5"/>
    <s v="Connected"/>
    <s v="No"/>
    <x v="0"/>
    <x v="2"/>
    <m/>
    <x v="0"/>
  </r>
  <r>
    <x v="52"/>
    <d v="2026-01-12T18:19:49"/>
    <x v="1"/>
    <x v="2"/>
    <x v="0"/>
    <n v="3841708"/>
    <x v="1"/>
    <s v="Not Connected"/>
    <s v="No"/>
    <x v="1"/>
    <x v="1"/>
    <n v="3700000"/>
    <x v="1"/>
  </r>
  <r>
    <x v="53"/>
    <d v="2026-01-12T23:45:35"/>
    <x v="2"/>
    <x v="4"/>
    <x v="1"/>
    <n v="2608848"/>
    <x v="4"/>
    <s v="Connected"/>
    <s v="Yes"/>
    <x v="0"/>
    <x v="0"/>
    <m/>
    <x v="2"/>
  </r>
  <r>
    <x v="54"/>
    <d v="2026-01-13T05:11:21"/>
    <x v="3"/>
    <x v="2"/>
    <x v="1"/>
    <n v="2496358"/>
    <x v="5"/>
    <s v="Connected"/>
    <s v="Yes"/>
    <x v="1"/>
    <x v="1"/>
    <n v="2400000"/>
    <x v="2"/>
  </r>
  <r>
    <x v="55"/>
    <d v="2026-01-13T10:37:07"/>
    <x v="1"/>
    <x v="5"/>
    <x v="2"/>
    <n v="6253091"/>
    <x v="5"/>
    <s v="Not Connected"/>
    <s v="No"/>
    <x v="0"/>
    <x v="2"/>
    <m/>
    <x v="0"/>
  </r>
  <r>
    <x v="56"/>
    <d v="2026-01-13T16:02:53"/>
    <x v="4"/>
    <x v="4"/>
    <x v="0"/>
    <n v="7101161"/>
    <x v="1"/>
    <s v="Connected"/>
    <s v="Yes"/>
    <x v="1"/>
    <x v="1"/>
    <n v="7350000"/>
    <x v="0"/>
  </r>
  <r>
    <x v="57"/>
    <d v="2026-01-13T21:28:39"/>
    <x v="4"/>
    <x v="5"/>
    <x v="0"/>
    <n v="4775050"/>
    <x v="5"/>
    <s v="Not Connected"/>
    <s v="No"/>
    <x v="0"/>
    <x v="2"/>
    <m/>
    <x v="1"/>
  </r>
  <r>
    <x v="58"/>
    <d v="2026-01-14T02:54:25"/>
    <x v="4"/>
    <x v="1"/>
    <x v="2"/>
    <n v="11938854"/>
    <x v="5"/>
    <s v="Not Connected"/>
    <s v="No"/>
    <x v="0"/>
    <x v="2"/>
    <m/>
    <x v="3"/>
  </r>
  <r>
    <x v="59"/>
    <d v="2026-01-14T08:20:11"/>
    <x v="0"/>
    <x v="3"/>
    <x v="0"/>
    <n v="7919921"/>
    <x v="1"/>
    <s v="Connected"/>
    <s v="Yes"/>
    <x v="0"/>
    <x v="0"/>
    <m/>
    <x v="0"/>
  </r>
  <r>
    <x v="60"/>
    <d v="2026-01-14T13:45:57"/>
    <x v="0"/>
    <x v="2"/>
    <x v="0"/>
    <n v="5140795"/>
    <x v="5"/>
    <s v="Connected"/>
    <s v="Yes"/>
    <x v="1"/>
    <x v="1"/>
    <n v="5050000"/>
    <x v="0"/>
  </r>
  <r>
    <x v="61"/>
    <d v="2026-01-14T19:11:43"/>
    <x v="0"/>
    <x v="2"/>
    <x v="0"/>
    <n v="4461666"/>
    <x v="1"/>
    <s v="Not Connected"/>
    <s v="No"/>
    <x v="0"/>
    <x v="2"/>
    <m/>
    <x v="1"/>
  </r>
  <r>
    <x v="62"/>
    <d v="2026-01-15T00:37:29"/>
    <x v="2"/>
    <x v="4"/>
    <x v="1"/>
    <n v="6361237"/>
    <x v="1"/>
    <s v="Not Connected"/>
    <s v="Yes"/>
    <x v="0"/>
    <x v="0"/>
    <m/>
    <x v="0"/>
  </r>
  <r>
    <x v="63"/>
    <d v="2026-01-15T06:03:15"/>
    <x v="0"/>
    <x v="5"/>
    <x v="0"/>
    <n v="8334908"/>
    <x v="1"/>
    <s v="Connected"/>
    <s v="Yes"/>
    <x v="0"/>
    <x v="0"/>
    <m/>
    <x v="3"/>
  </r>
  <r>
    <x v="64"/>
    <d v="2026-01-15T11:29:01"/>
    <x v="0"/>
    <x v="5"/>
    <x v="0"/>
    <n v="6633499"/>
    <x v="0"/>
    <s v="Connected"/>
    <s v="Yes"/>
    <x v="0"/>
    <x v="0"/>
    <m/>
    <x v="0"/>
  </r>
  <r>
    <x v="65"/>
    <d v="2026-01-15T16:54:46"/>
    <x v="5"/>
    <x v="3"/>
    <x v="2"/>
    <n v="9638586"/>
    <x v="4"/>
    <s v="Connected"/>
    <s v="Yes"/>
    <x v="0"/>
    <x v="0"/>
    <m/>
    <x v="3"/>
  </r>
  <r>
    <x v="66"/>
    <d v="2026-01-15T22:20:32"/>
    <x v="4"/>
    <x v="0"/>
    <x v="0"/>
    <n v="6544817"/>
    <x v="1"/>
    <s v="Connected"/>
    <s v="No"/>
    <x v="0"/>
    <x v="2"/>
    <m/>
    <x v="0"/>
  </r>
  <r>
    <x v="67"/>
    <d v="2026-01-16T03:46:18"/>
    <x v="2"/>
    <x v="0"/>
    <x v="0"/>
    <n v="5639753"/>
    <x v="1"/>
    <s v="Not Connected"/>
    <s v="Yes"/>
    <x v="0"/>
    <x v="0"/>
    <m/>
    <x v="0"/>
  </r>
  <r>
    <x v="68"/>
    <d v="2026-01-16T09:12:04"/>
    <x v="4"/>
    <x v="5"/>
    <x v="0"/>
    <n v="3796883"/>
    <x v="2"/>
    <s v="Connected"/>
    <s v="Yes"/>
    <x v="0"/>
    <x v="0"/>
    <m/>
    <x v="1"/>
  </r>
  <r>
    <x v="69"/>
    <d v="2026-01-16T14:37:50"/>
    <x v="1"/>
    <x v="5"/>
    <x v="0"/>
    <n v="3796710"/>
    <x v="0"/>
    <s v="Not Connected"/>
    <s v="No"/>
    <x v="0"/>
    <x v="2"/>
    <m/>
    <x v="1"/>
  </r>
  <r>
    <x v="70"/>
    <d v="2026-01-16T20:03:36"/>
    <x v="2"/>
    <x v="5"/>
    <x v="2"/>
    <n v="8220182"/>
    <x v="0"/>
    <s v="Connected"/>
    <s v="Yes"/>
    <x v="1"/>
    <x v="0"/>
    <m/>
    <x v="3"/>
  </r>
  <r>
    <x v="71"/>
    <d v="2026-01-17T01:29:22"/>
    <x v="4"/>
    <x v="0"/>
    <x v="0"/>
    <n v="3316462"/>
    <x v="4"/>
    <s v="Connected"/>
    <s v="Yes"/>
    <x v="0"/>
    <x v="1"/>
    <n v="3300000"/>
    <x v="1"/>
  </r>
  <r>
    <x v="72"/>
    <d v="2026-01-17T06:55:08"/>
    <x v="4"/>
    <x v="0"/>
    <x v="0"/>
    <n v="3060128"/>
    <x v="5"/>
    <s v="Connected"/>
    <s v="Yes"/>
    <x v="0"/>
    <x v="0"/>
    <m/>
    <x v="1"/>
  </r>
  <r>
    <x v="73"/>
    <d v="2026-01-17T12:20:54"/>
    <x v="2"/>
    <x v="0"/>
    <x v="1"/>
    <n v="2782116"/>
    <x v="1"/>
    <s v="Connected"/>
    <s v="Yes"/>
    <x v="0"/>
    <x v="0"/>
    <m/>
    <x v="2"/>
  </r>
  <r>
    <x v="74"/>
    <d v="2026-01-17T17:46:40"/>
    <x v="3"/>
    <x v="2"/>
    <x v="1"/>
    <n v="1652353"/>
    <x v="5"/>
    <s v="Not Connected"/>
    <s v="Yes"/>
    <x v="0"/>
    <x v="0"/>
    <m/>
    <x v="2"/>
  </r>
  <r>
    <x v="75"/>
    <d v="2026-01-17T23:12:26"/>
    <x v="3"/>
    <x v="5"/>
    <x v="1"/>
    <n v="2838306"/>
    <x v="0"/>
    <s v="Connected"/>
    <s v="Yes"/>
    <x v="0"/>
    <x v="0"/>
    <m/>
    <x v="2"/>
  </r>
  <r>
    <x v="76"/>
    <d v="2026-01-18T04:38:12"/>
    <x v="2"/>
    <x v="5"/>
    <x v="0"/>
    <n v="3086346"/>
    <x v="4"/>
    <s v="Connected"/>
    <s v="Yes"/>
    <x v="0"/>
    <x v="0"/>
    <m/>
    <x v="1"/>
  </r>
  <r>
    <x v="77"/>
    <d v="2026-01-18T10:03:58"/>
    <x v="4"/>
    <x v="3"/>
    <x v="0"/>
    <n v="5058686"/>
    <x v="2"/>
    <s v="Connected"/>
    <s v="Yes"/>
    <x v="1"/>
    <x v="1"/>
    <n v="4750000"/>
    <x v="0"/>
  </r>
  <r>
    <x v="78"/>
    <d v="2026-01-18T15:29:44"/>
    <x v="0"/>
    <x v="0"/>
    <x v="1"/>
    <n v="7582154"/>
    <x v="1"/>
    <s v="Connected"/>
    <s v="No"/>
    <x v="1"/>
    <x v="2"/>
    <m/>
    <x v="0"/>
  </r>
  <r>
    <x v="79"/>
    <d v="2026-01-18T20:55:30"/>
    <x v="4"/>
    <x v="2"/>
    <x v="2"/>
    <n v="14026111"/>
    <x v="2"/>
    <s v="Connected"/>
    <s v="Yes"/>
    <x v="1"/>
    <x v="1"/>
    <n v="13900000"/>
    <x v="4"/>
  </r>
  <r>
    <x v="80"/>
    <d v="2026-01-19T02:21:16"/>
    <x v="2"/>
    <x v="4"/>
    <x v="0"/>
    <n v="4900827"/>
    <x v="1"/>
    <s v="Connected"/>
    <s v="Yes"/>
    <x v="0"/>
    <x v="0"/>
    <m/>
    <x v="1"/>
  </r>
  <r>
    <x v="81"/>
    <d v="2026-01-19T07:47:02"/>
    <x v="3"/>
    <x v="0"/>
    <x v="0"/>
    <n v="3637431"/>
    <x v="5"/>
    <s v="Connected"/>
    <s v="Yes"/>
    <x v="0"/>
    <x v="0"/>
    <m/>
    <x v="1"/>
  </r>
  <r>
    <x v="82"/>
    <d v="2026-01-19T13:12:48"/>
    <x v="0"/>
    <x v="5"/>
    <x v="0"/>
    <n v="3362441"/>
    <x v="1"/>
    <s v="Connected"/>
    <s v="No"/>
    <x v="0"/>
    <x v="2"/>
    <m/>
    <x v="1"/>
  </r>
  <r>
    <x v="83"/>
    <d v="2026-01-19T18:38:34"/>
    <x v="4"/>
    <x v="2"/>
    <x v="1"/>
    <n v="4836023"/>
    <x v="4"/>
    <s v="Connected"/>
    <s v="No"/>
    <x v="0"/>
    <x v="2"/>
    <m/>
    <x v="1"/>
  </r>
  <r>
    <x v="84"/>
    <d v="2026-01-20T00:04:19"/>
    <x v="0"/>
    <x v="2"/>
    <x v="0"/>
    <n v="6445326"/>
    <x v="1"/>
    <s v="Connected"/>
    <s v="No"/>
    <x v="0"/>
    <x v="2"/>
    <m/>
    <x v="0"/>
  </r>
  <r>
    <x v="85"/>
    <d v="2026-01-20T05:30:05"/>
    <x v="0"/>
    <x v="1"/>
    <x v="0"/>
    <n v="4008109"/>
    <x v="0"/>
    <s v="Connected"/>
    <s v="Yes"/>
    <x v="0"/>
    <x v="0"/>
    <m/>
    <x v="1"/>
  </r>
  <r>
    <x v="86"/>
    <d v="2026-01-20T10:55:51"/>
    <x v="3"/>
    <x v="3"/>
    <x v="0"/>
    <n v="3698876"/>
    <x v="5"/>
    <s v="Connected"/>
    <s v="Yes"/>
    <x v="0"/>
    <x v="0"/>
    <m/>
    <x v="1"/>
  </r>
  <r>
    <x v="87"/>
    <d v="2026-01-20T16:21:37"/>
    <x v="3"/>
    <x v="0"/>
    <x v="2"/>
    <n v="9556601"/>
    <x v="4"/>
    <s v="Not Connected"/>
    <s v="Yes"/>
    <x v="0"/>
    <x v="0"/>
    <m/>
    <x v="3"/>
  </r>
  <r>
    <x v="88"/>
    <d v="2026-01-20T21:47:23"/>
    <x v="2"/>
    <x v="2"/>
    <x v="1"/>
    <n v="2723451"/>
    <x v="4"/>
    <s v="Not Connected"/>
    <s v="No"/>
    <x v="0"/>
    <x v="2"/>
    <m/>
    <x v="2"/>
  </r>
  <r>
    <x v="89"/>
    <d v="2026-01-21T03:13:09"/>
    <x v="5"/>
    <x v="0"/>
    <x v="0"/>
    <n v="8427717"/>
    <x v="1"/>
    <s v="Connected"/>
    <s v="Yes"/>
    <x v="1"/>
    <x v="0"/>
    <m/>
    <x v="3"/>
  </r>
  <r>
    <x v="90"/>
    <d v="2026-01-21T08:38:55"/>
    <x v="4"/>
    <x v="2"/>
    <x v="2"/>
    <n v="9692504"/>
    <x v="2"/>
    <s v="Connected"/>
    <s v="No"/>
    <x v="0"/>
    <x v="2"/>
    <m/>
    <x v="3"/>
  </r>
  <r>
    <x v="91"/>
    <d v="2026-01-21T14:04:41"/>
    <x v="3"/>
    <x v="3"/>
    <x v="1"/>
    <n v="3887554"/>
    <x v="2"/>
    <s v="Connected"/>
    <s v="Yes"/>
    <x v="1"/>
    <x v="0"/>
    <m/>
    <x v="1"/>
  </r>
  <r>
    <x v="92"/>
    <d v="2026-01-21T19:30:27"/>
    <x v="2"/>
    <x v="3"/>
    <x v="0"/>
    <n v="5946251"/>
    <x v="2"/>
    <s v="Connected"/>
    <s v="Yes"/>
    <x v="1"/>
    <x v="1"/>
    <n v="5700000"/>
    <x v="0"/>
  </r>
  <r>
    <x v="93"/>
    <d v="2026-01-22T00:56:13"/>
    <x v="5"/>
    <x v="1"/>
    <x v="0"/>
    <n v="5131526"/>
    <x v="0"/>
    <s v="Connected"/>
    <s v="Yes"/>
    <x v="0"/>
    <x v="0"/>
    <m/>
    <x v="0"/>
  </r>
  <r>
    <x v="94"/>
    <d v="2026-01-22T06:21:59"/>
    <x v="2"/>
    <x v="0"/>
    <x v="0"/>
    <n v="3698787"/>
    <x v="2"/>
    <s v="Connected"/>
    <s v="Yes"/>
    <x v="0"/>
    <x v="0"/>
    <m/>
    <x v="1"/>
  </r>
  <r>
    <x v="95"/>
    <d v="2026-01-22T11:47:45"/>
    <x v="5"/>
    <x v="0"/>
    <x v="2"/>
    <n v="11651397"/>
    <x v="5"/>
    <s v="Connected"/>
    <s v="Yes"/>
    <x v="0"/>
    <x v="0"/>
    <m/>
    <x v="3"/>
  </r>
  <r>
    <x v="96"/>
    <d v="2026-01-22T17:13:31"/>
    <x v="5"/>
    <x v="0"/>
    <x v="2"/>
    <n v="10408242"/>
    <x v="2"/>
    <s v="Connected"/>
    <s v="Yes"/>
    <x v="1"/>
    <x v="1"/>
    <n v="10550000"/>
    <x v="3"/>
  </r>
  <r>
    <x v="97"/>
    <d v="2026-01-22T22:39:17"/>
    <x v="5"/>
    <x v="0"/>
    <x v="2"/>
    <n v="10178998"/>
    <x v="1"/>
    <s v="Connected"/>
    <s v="No"/>
    <x v="0"/>
    <x v="2"/>
    <m/>
    <x v="3"/>
  </r>
  <r>
    <x v="98"/>
    <d v="2026-01-23T04:05:03"/>
    <x v="4"/>
    <x v="4"/>
    <x v="2"/>
    <n v="9413082"/>
    <x v="5"/>
    <s v="Connected"/>
    <s v="Yes"/>
    <x v="1"/>
    <x v="0"/>
    <m/>
    <x v="3"/>
  </r>
  <r>
    <x v="99"/>
    <d v="2026-01-23T09:30:49"/>
    <x v="4"/>
    <x v="5"/>
    <x v="0"/>
    <n v="4137411"/>
    <x v="5"/>
    <s v="Connected"/>
    <s v="No"/>
    <x v="1"/>
    <x v="2"/>
    <m/>
    <x v="1"/>
  </r>
  <r>
    <x v="100"/>
    <d v="2026-01-23T14:56:35"/>
    <x v="4"/>
    <x v="0"/>
    <x v="1"/>
    <n v="4745031"/>
    <x v="2"/>
    <s v="Connected"/>
    <s v="Yes"/>
    <x v="1"/>
    <x v="1"/>
    <n v="4900000"/>
    <x v="1"/>
  </r>
  <r>
    <x v="101"/>
    <d v="2026-01-23T20:22:21"/>
    <x v="3"/>
    <x v="2"/>
    <x v="0"/>
    <n v="3293851"/>
    <x v="2"/>
    <s v="Connected"/>
    <s v="Yes"/>
    <x v="1"/>
    <x v="0"/>
    <m/>
    <x v="1"/>
  </r>
  <r>
    <x v="102"/>
    <d v="2026-01-24T01:48:06"/>
    <x v="0"/>
    <x v="2"/>
    <x v="0"/>
    <n v="4205046"/>
    <x v="5"/>
    <s v="Connected"/>
    <s v="No"/>
    <x v="1"/>
    <x v="1"/>
    <n v="4250000"/>
    <x v="1"/>
  </r>
  <r>
    <x v="103"/>
    <d v="2026-01-24T07:13:52"/>
    <x v="5"/>
    <x v="2"/>
    <x v="2"/>
    <n v="11722438"/>
    <x v="2"/>
    <s v="Connected"/>
    <s v="No"/>
    <x v="0"/>
    <x v="2"/>
    <m/>
    <x v="3"/>
  </r>
  <r>
    <x v="104"/>
    <d v="2026-01-24T12:39:38"/>
    <x v="1"/>
    <x v="2"/>
    <x v="2"/>
    <n v="10522785"/>
    <x v="0"/>
    <s v="Connected"/>
    <s v="Yes"/>
    <x v="1"/>
    <x v="0"/>
    <m/>
    <x v="3"/>
  </r>
  <r>
    <x v="105"/>
    <d v="2026-01-24T18:05:24"/>
    <x v="0"/>
    <x v="0"/>
    <x v="0"/>
    <n v="8872949"/>
    <x v="5"/>
    <s v="Connected"/>
    <s v="No"/>
    <x v="0"/>
    <x v="2"/>
    <m/>
    <x v="3"/>
  </r>
  <r>
    <x v="106"/>
    <d v="2026-01-24T23:31:10"/>
    <x v="5"/>
    <x v="5"/>
    <x v="1"/>
    <n v="2270692"/>
    <x v="5"/>
    <s v="Connected"/>
    <s v="No"/>
    <x v="1"/>
    <x v="2"/>
    <m/>
    <x v="2"/>
  </r>
  <r>
    <x v="107"/>
    <d v="2026-01-25T04:56:56"/>
    <x v="2"/>
    <x v="4"/>
    <x v="1"/>
    <n v="3637788"/>
    <x v="2"/>
    <s v="Connected"/>
    <s v="No"/>
    <x v="0"/>
    <x v="2"/>
    <m/>
    <x v="1"/>
  </r>
  <r>
    <x v="108"/>
    <d v="2026-01-25T10:22:42"/>
    <x v="0"/>
    <x v="3"/>
    <x v="0"/>
    <n v="5972967"/>
    <x v="1"/>
    <s v="Connected"/>
    <s v="Yes"/>
    <x v="0"/>
    <x v="0"/>
    <m/>
    <x v="0"/>
  </r>
  <r>
    <x v="109"/>
    <d v="2026-01-25T15:48:28"/>
    <x v="4"/>
    <x v="0"/>
    <x v="1"/>
    <n v="4358127"/>
    <x v="4"/>
    <s v="Connected"/>
    <s v="No"/>
    <x v="0"/>
    <x v="2"/>
    <m/>
    <x v="1"/>
  </r>
  <r>
    <x v="110"/>
    <d v="2026-01-25T21:14:14"/>
    <x v="0"/>
    <x v="4"/>
    <x v="0"/>
    <n v="4844867"/>
    <x v="5"/>
    <s v="Connected"/>
    <s v="No"/>
    <x v="0"/>
    <x v="2"/>
    <m/>
    <x v="1"/>
  </r>
  <r>
    <x v="111"/>
    <d v="2026-01-26T02:40:00"/>
    <x v="4"/>
    <x v="0"/>
    <x v="0"/>
    <n v="5152417"/>
    <x v="1"/>
    <s v="Connected"/>
    <s v="No"/>
    <x v="0"/>
    <x v="2"/>
    <m/>
    <x v="0"/>
  </r>
  <r>
    <x v="112"/>
    <d v="2026-01-26T08:05:46"/>
    <x v="1"/>
    <x v="0"/>
    <x v="0"/>
    <n v="3676585"/>
    <x v="2"/>
    <s v="Not Connected"/>
    <s v="No"/>
    <x v="0"/>
    <x v="2"/>
    <m/>
    <x v="1"/>
  </r>
  <r>
    <x v="113"/>
    <d v="2026-01-26T13:31:32"/>
    <x v="2"/>
    <x v="1"/>
    <x v="1"/>
    <n v="4892629"/>
    <x v="4"/>
    <s v="Connected"/>
    <s v="Yes"/>
    <x v="1"/>
    <x v="1"/>
    <n v="4950000"/>
    <x v="1"/>
  </r>
  <r>
    <x v="114"/>
    <d v="2026-01-26T18:57:18"/>
    <x v="3"/>
    <x v="1"/>
    <x v="2"/>
    <n v="10492570"/>
    <x v="2"/>
    <s v="Connected"/>
    <s v="Yes"/>
    <x v="0"/>
    <x v="0"/>
    <m/>
    <x v="3"/>
  </r>
  <r>
    <x v="115"/>
    <d v="2026-01-27T00:23:04"/>
    <x v="2"/>
    <x v="1"/>
    <x v="0"/>
    <n v="5489337"/>
    <x v="0"/>
    <s v="Not Connected"/>
    <s v="No"/>
    <x v="0"/>
    <x v="2"/>
    <m/>
    <x v="0"/>
  </r>
  <r>
    <x v="116"/>
    <d v="2026-01-27T05:48:50"/>
    <x v="2"/>
    <x v="0"/>
    <x v="0"/>
    <n v="5529934"/>
    <x v="2"/>
    <s v="Not Connected"/>
    <s v="No"/>
    <x v="0"/>
    <x v="2"/>
    <m/>
    <x v="0"/>
  </r>
  <r>
    <x v="117"/>
    <d v="2026-01-27T11:14:36"/>
    <x v="4"/>
    <x v="2"/>
    <x v="2"/>
    <n v="17160325"/>
    <x v="4"/>
    <s v="Connected"/>
    <s v="Yes"/>
    <x v="1"/>
    <x v="1"/>
    <n v="16950000"/>
    <x v="4"/>
  </r>
  <r>
    <x v="118"/>
    <d v="2026-01-27T16:40:22"/>
    <x v="2"/>
    <x v="0"/>
    <x v="0"/>
    <n v="4129833"/>
    <x v="5"/>
    <s v="Connected"/>
    <s v="Yes"/>
    <x v="1"/>
    <x v="1"/>
    <n v="4200000"/>
    <x v="1"/>
  </r>
  <r>
    <x v="119"/>
    <d v="2026-01-27T22:06:08"/>
    <x v="5"/>
    <x v="0"/>
    <x v="1"/>
    <n v="2952879"/>
    <x v="4"/>
    <s v="Connected"/>
    <s v="No"/>
    <x v="0"/>
    <x v="2"/>
    <m/>
    <x v="2"/>
  </r>
  <r>
    <x v="120"/>
    <d v="2026-01-28T03:31:54"/>
    <x v="2"/>
    <x v="6"/>
    <x v="1"/>
    <n v="5124117"/>
    <x v="5"/>
    <s v="Connected"/>
    <s v="Yes"/>
    <x v="1"/>
    <x v="0"/>
    <m/>
    <x v="0"/>
  </r>
  <r>
    <x v="121"/>
    <d v="2026-01-28T08:57:39"/>
    <x v="2"/>
    <x v="2"/>
    <x v="0"/>
    <n v="8614566"/>
    <x v="2"/>
    <s v="Connected"/>
    <s v="Yes"/>
    <x v="0"/>
    <x v="0"/>
    <m/>
    <x v="3"/>
  </r>
  <r>
    <x v="122"/>
    <d v="2026-01-28T14:23:25"/>
    <x v="0"/>
    <x v="2"/>
    <x v="1"/>
    <n v="3870947"/>
    <x v="1"/>
    <s v="Connected"/>
    <s v="Yes"/>
    <x v="1"/>
    <x v="1"/>
    <n v="3750000"/>
    <x v="1"/>
  </r>
  <r>
    <x v="123"/>
    <d v="2026-01-28T19:49:11"/>
    <x v="4"/>
    <x v="4"/>
    <x v="0"/>
    <n v="3493992"/>
    <x v="4"/>
    <s v="Connected"/>
    <s v="Yes"/>
    <x v="0"/>
    <x v="0"/>
    <m/>
    <x v="1"/>
  </r>
  <r>
    <x v="124"/>
    <d v="2026-01-29T01:14:57"/>
    <x v="0"/>
    <x v="3"/>
    <x v="1"/>
    <n v="5785834"/>
    <x v="1"/>
    <s v="Not Connected"/>
    <s v="No"/>
    <x v="0"/>
    <x v="2"/>
    <m/>
    <x v="0"/>
  </r>
  <r>
    <x v="125"/>
    <d v="2026-01-29T06:40:43"/>
    <x v="5"/>
    <x v="1"/>
    <x v="2"/>
    <n v="16429900"/>
    <x v="2"/>
    <s v="Not Connected"/>
    <s v="No"/>
    <x v="0"/>
    <x v="2"/>
    <m/>
    <x v="4"/>
  </r>
  <r>
    <x v="126"/>
    <d v="2026-01-29T12:06:29"/>
    <x v="2"/>
    <x v="0"/>
    <x v="2"/>
    <n v="13327043"/>
    <x v="0"/>
    <s v="Connected"/>
    <s v="Yes"/>
    <x v="0"/>
    <x v="0"/>
    <m/>
    <x v="4"/>
  </r>
  <r>
    <x v="127"/>
    <d v="2026-01-29T17:32:15"/>
    <x v="2"/>
    <x v="5"/>
    <x v="0"/>
    <n v="3289662"/>
    <x v="1"/>
    <s v="Connected"/>
    <s v="Yes"/>
    <x v="1"/>
    <x v="0"/>
    <m/>
    <x v="1"/>
  </r>
  <r>
    <x v="128"/>
    <d v="2026-01-29T22:58:01"/>
    <x v="4"/>
    <x v="5"/>
    <x v="1"/>
    <n v="3898333"/>
    <x v="0"/>
    <s v="Connected"/>
    <s v="Yes"/>
    <x v="1"/>
    <x v="1"/>
    <n v="3900000"/>
    <x v="1"/>
  </r>
  <r>
    <x v="129"/>
    <d v="2026-01-30T04:23:47"/>
    <x v="5"/>
    <x v="0"/>
    <x v="0"/>
    <n v="6428791"/>
    <x v="1"/>
    <s v="Not Connected"/>
    <s v="No"/>
    <x v="0"/>
    <x v="2"/>
    <m/>
    <x v="0"/>
  </r>
  <r>
    <x v="130"/>
    <d v="2026-01-30T09:49:33"/>
    <x v="5"/>
    <x v="3"/>
    <x v="0"/>
    <n v="3437805"/>
    <x v="4"/>
    <s v="Connected"/>
    <s v="Yes"/>
    <x v="0"/>
    <x v="0"/>
    <m/>
    <x v="1"/>
  </r>
  <r>
    <x v="131"/>
    <d v="2026-01-30T15:15:19"/>
    <x v="0"/>
    <x v="1"/>
    <x v="0"/>
    <n v="3509551"/>
    <x v="0"/>
    <s v="Connected"/>
    <s v="Yes"/>
    <x v="0"/>
    <x v="0"/>
    <m/>
    <x v="1"/>
  </r>
  <r>
    <x v="132"/>
    <d v="2026-01-30T20:41:05"/>
    <x v="4"/>
    <x v="0"/>
    <x v="2"/>
    <n v="7054096"/>
    <x v="1"/>
    <s v="Connected"/>
    <s v="Yes"/>
    <x v="0"/>
    <x v="0"/>
    <m/>
    <x v="0"/>
  </r>
  <r>
    <x v="133"/>
    <d v="2026-01-31T02:06:51"/>
    <x v="0"/>
    <x v="0"/>
    <x v="0"/>
    <n v="5270645"/>
    <x v="3"/>
    <s v="Connected"/>
    <s v="No"/>
    <x v="0"/>
    <x v="2"/>
    <m/>
    <x v="0"/>
  </r>
  <r>
    <x v="134"/>
    <d v="2026-01-31T07:32:37"/>
    <x v="1"/>
    <x v="3"/>
    <x v="2"/>
    <n v="10087820"/>
    <x v="5"/>
    <s v="Connected"/>
    <s v="Yes"/>
    <x v="1"/>
    <x v="1"/>
    <n v="9600000"/>
    <x v="3"/>
  </r>
  <r>
    <x v="135"/>
    <d v="2026-01-31T12:58:23"/>
    <x v="0"/>
    <x v="0"/>
    <x v="1"/>
    <n v="3987798"/>
    <x v="5"/>
    <s v="Not Connected"/>
    <s v="No"/>
    <x v="0"/>
    <x v="2"/>
    <m/>
    <x v="1"/>
  </r>
  <r>
    <x v="136"/>
    <d v="2026-01-31T18:24:09"/>
    <x v="5"/>
    <x v="4"/>
    <x v="0"/>
    <n v="4564926"/>
    <x v="0"/>
    <s v="Connected"/>
    <s v="No"/>
    <x v="0"/>
    <x v="2"/>
    <m/>
    <x v="1"/>
  </r>
  <r>
    <x v="137"/>
    <d v="2026-01-31T23:49:55"/>
    <x v="3"/>
    <x v="1"/>
    <x v="2"/>
    <n v="6990121"/>
    <x v="5"/>
    <s v="Connected"/>
    <s v="Yes"/>
    <x v="1"/>
    <x v="0"/>
    <m/>
    <x v="0"/>
  </r>
  <r>
    <x v="138"/>
    <d v="2026-02-01T05:15:41"/>
    <x v="0"/>
    <x v="1"/>
    <x v="0"/>
    <n v="8225050"/>
    <x v="3"/>
    <s v="Connected"/>
    <s v="Yes"/>
    <x v="1"/>
    <x v="1"/>
    <n v="7650000"/>
    <x v="3"/>
  </r>
  <r>
    <x v="139"/>
    <d v="2026-02-01T10:41:26"/>
    <x v="1"/>
    <x v="1"/>
    <x v="1"/>
    <n v="1983442"/>
    <x v="3"/>
    <s v="Connected"/>
    <s v="Yes"/>
    <x v="1"/>
    <x v="1"/>
    <n v="1950000"/>
    <x v="2"/>
  </r>
  <r>
    <x v="140"/>
    <d v="2026-02-01T16:07:12"/>
    <x v="1"/>
    <x v="4"/>
    <x v="1"/>
    <n v="2279976"/>
    <x v="5"/>
    <s v="Not Connected"/>
    <s v="No"/>
    <x v="0"/>
    <x v="2"/>
    <m/>
    <x v="2"/>
  </r>
  <r>
    <x v="141"/>
    <d v="2026-02-01T21:32:58"/>
    <x v="0"/>
    <x v="5"/>
    <x v="0"/>
    <n v="4009869"/>
    <x v="4"/>
    <s v="Not Connected"/>
    <s v="No"/>
    <x v="0"/>
    <x v="2"/>
    <m/>
    <x v="1"/>
  </r>
  <r>
    <x v="142"/>
    <d v="2026-02-02T02:58:44"/>
    <x v="5"/>
    <x v="3"/>
    <x v="2"/>
    <n v="8428462"/>
    <x v="5"/>
    <s v="Not Connected"/>
    <s v="No"/>
    <x v="0"/>
    <x v="2"/>
    <m/>
    <x v="3"/>
  </r>
  <r>
    <x v="143"/>
    <d v="2026-02-02T08:24:30"/>
    <x v="0"/>
    <x v="1"/>
    <x v="0"/>
    <n v="4360018"/>
    <x v="1"/>
    <s v="Not Connected"/>
    <s v="Yes"/>
    <x v="0"/>
    <x v="1"/>
    <n v="4250000"/>
    <x v="1"/>
  </r>
  <r>
    <x v="144"/>
    <d v="2026-02-02T13:50:16"/>
    <x v="0"/>
    <x v="0"/>
    <x v="0"/>
    <n v="3579223"/>
    <x v="5"/>
    <s v="Connected"/>
    <s v="Yes"/>
    <x v="1"/>
    <x v="1"/>
    <n v="3400000"/>
    <x v="1"/>
  </r>
  <r>
    <x v="145"/>
    <d v="2026-02-02T19:16:02"/>
    <x v="4"/>
    <x v="2"/>
    <x v="1"/>
    <n v="4021437"/>
    <x v="5"/>
    <s v="Connected"/>
    <s v="Yes"/>
    <x v="1"/>
    <x v="1"/>
    <n v="4100000"/>
    <x v="1"/>
  </r>
  <r>
    <x v="146"/>
    <d v="2026-02-03T00:41:48"/>
    <x v="3"/>
    <x v="4"/>
    <x v="0"/>
    <n v="4002429"/>
    <x v="1"/>
    <s v="Connected"/>
    <s v="Yes"/>
    <x v="1"/>
    <x v="1"/>
    <n v="3700000"/>
    <x v="1"/>
  </r>
  <r>
    <x v="147"/>
    <d v="2026-02-03T06:07:34"/>
    <x v="5"/>
    <x v="3"/>
    <x v="0"/>
    <n v="7649123"/>
    <x v="1"/>
    <s v="Not Connected"/>
    <s v="No"/>
    <x v="1"/>
    <x v="2"/>
    <m/>
    <x v="0"/>
  </r>
  <r>
    <x v="148"/>
    <d v="2026-02-03T11:33:20"/>
    <x v="4"/>
    <x v="4"/>
    <x v="0"/>
    <n v="5258762"/>
    <x v="3"/>
    <s v="Connected"/>
    <s v="No"/>
    <x v="1"/>
    <x v="2"/>
    <m/>
    <x v="0"/>
  </r>
  <r>
    <x v="149"/>
    <d v="2026-02-03T16:59:06"/>
    <x v="0"/>
    <x v="2"/>
    <x v="1"/>
    <n v="1984273"/>
    <x v="2"/>
    <s v="Connected"/>
    <s v="No"/>
    <x v="1"/>
    <x v="1"/>
    <n v="1900000"/>
    <x v="2"/>
  </r>
  <r>
    <x v="150"/>
    <d v="2026-02-03T22:24:52"/>
    <x v="1"/>
    <x v="3"/>
    <x v="0"/>
    <n v="4282188"/>
    <x v="2"/>
    <s v="Connected"/>
    <s v="Yes"/>
    <x v="1"/>
    <x v="1"/>
    <n v="4350000"/>
    <x v="1"/>
  </r>
  <r>
    <x v="151"/>
    <d v="2026-02-04T03:50:38"/>
    <x v="0"/>
    <x v="4"/>
    <x v="0"/>
    <n v="8903234"/>
    <x v="4"/>
    <s v="Connected"/>
    <s v="Yes"/>
    <x v="1"/>
    <x v="1"/>
    <n v="8700000"/>
    <x v="3"/>
  </r>
  <r>
    <x v="152"/>
    <d v="2026-02-04T09:16:24"/>
    <x v="4"/>
    <x v="3"/>
    <x v="2"/>
    <n v="6688332"/>
    <x v="2"/>
    <s v="Connected"/>
    <s v="Yes"/>
    <x v="0"/>
    <x v="0"/>
    <m/>
    <x v="0"/>
  </r>
  <r>
    <x v="153"/>
    <d v="2026-02-04T14:42:10"/>
    <x v="5"/>
    <x v="3"/>
    <x v="1"/>
    <n v="3422133"/>
    <x v="1"/>
    <s v="Not Connected"/>
    <s v="No"/>
    <x v="0"/>
    <x v="2"/>
    <m/>
    <x v="1"/>
  </r>
  <r>
    <x v="154"/>
    <d v="2026-02-04T20:07:56"/>
    <x v="1"/>
    <x v="3"/>
    <x v="0"/>
    <n v="4256348"/>
    <x v="2"/>
    <s v="Connected"/>
    <s v="Yes"/>
    <x v="0"/>
    <x v="1"/>
    <n v="4300000"/>
    <x v="1"/>
  </r>
  <r>
    <x v="155"/>
    <d v="2026-02-05T01:33:42"/>
    <x v="0"/>
    <x v="4"/>
    <x v="0"/>
    <n v="3769305"/>
    <x v="3"/>
    <s v="Connected"/>
    <s v="No"/>
    <x v="0"/>
    <x v="2"/>
    <m/>
    <x v="1"/>
  </r>
  <r>
    <x v="156"/>
    <d v="2026-02-05T06:59:28"/>
    <x v="3"/>
    <x v="0"/>
    <x v="0"/>
    <n v="4620077"/>
    <x v="1"/>
    <s v="Not Connected"/>
    <s v="Yes"/>
    <x v="0"/>
    <x v="0"/>
    <m/>
    <x v="1"/>
  </r>
  <r>
    <x v="157"/>
    <d v="2026-02-05T12:25:14"/>
    <x v="2"/>
    <x v="2"/>
    <x v="0"/>
    <n v="3717104"/>
    <x v="4"/>
    <s v="Connected"/>
    <s v="Yes"/>
    <x v="1"/>
    <x v="0"/>
    <m/>
    <x v="1"/>
  </r>
  <r>
    <x v="158"/>
    <d v="2026-02-05T17:50:59"/>
    <x v="0"/>
    <x v="2"/>
    <x v="0"/>
    <n v="4661082"/>
    <x v="2"/>
    <s v="Not Connected"/>
    <s v="No"/>
    <x v="0"/>
    <x v="2"/>
    <m/>
    <x v="1"/>
  </r>
  <r>
    <x v="159"/>
    <d v="2026-02-05T23:16:45"/>
    <x v="3"/>
    <x v="0"/>
    <x v="2"/>
    <n v="9901653"/>
    <x v="0"/>
    <s v="Connected"/>
    <s v="Yes"/>
    <x v="1"/>
    <x v="1"/>
    <n v="9850000"/>
    <x v="3"/>
  </r>
  <r>
    <x v="160"/>
    <d v="2026-02-06T04:42:31"/>
    <x v="0"/>
    <x v="4"/>
    <x v="2"/>
    <n v="8536414"/>
    <x v="2"/>
    <s v="Connected"/>
    <s v="Yes"/>
    <x v="1"/>
    <x v="1"/>
    <n v="8900000"/>
    <x v="3"/>
  </r>
  <r>
    <x v="161"/>
    <d v="2026-02-06T10:08:17"/>
    <x v="3"/>
    <x v="0"/>
    <x v="2"/>
    <n v="11448633"/>
    <x v="1"/>
    <s v="Not Connected"/>
    <s v="Yes"/>
    <x v="0"/>
    <x v="0"/>
    <m/>
    <x v="3"/>
  </r>
  <r>
    <x v="162"/>
    <d v="2026-02-06T15:34:03"/>
    <x v="3"/>
    <x v="5"/>
    <x v="0"/>
    <n v="6236067"/>
    <x v="1"/>
    <s v="Connected"/>
    <s v="Yes"/>
    <x v="1"/>
    <x v="0"/>
    <m/>
    <x v="0"/>
  </r>
  <r>
    <x v="163"/>
    <d v="2026-02-06T20:59:49"/>
    <x v="5"/>
    <x v="4"/>
    <x v="1"/>
    <n v="3036469"/>
    <x v="5"/>
    <s v="Connected"/>
    <s v="Yes"/>
    <x v="1"/>
    <x v="0"/>
    <m/>
    <x v="1"/>
  </r>
  <r>
    <x v="164"/>
    <d v="2026-02-07T02:25:35"/>
    <x v="4"/>
    <x v="0"/>
    <x v="0"/>
    <n v="4227545"/>
    <x v="2"/>
    <s v="Connected"/>
    <s v="Yes"/>
    <x v="1"/>
    <x v="1"/>
    <n v="4200000"/>
    <x v="1"/>
  </r>
  <r>
    <x v="165"/>
    <d v="2026-02-07T07:51:21"/>
    <x v="2"/>
    <x v="4"/>
    <x v="1"/>
    <n v="2415480"/>
    <x v="5"/>
    <s v="Connected"/>
    <s v="Yes"/>
    <x v="0"/>
    <x v="0"/>
    <m/>
    <x v="2"/>
  </r>
  <r>
    <x v="166"/>
    <d v="2026-02-07T13:17:07"/>
    <x v="0"/>
    <x v="4"/>
    <x v="2"/>
    <n v="8542057"/>
    <x v="0"/>
    <s v="Connected"/>
    <s v="No"/>
    <x v="0"/>
    <x v="2"/>
    <m/>
    <x v="3"/>
  </r>
  <r>
    <x v="167"/>
    <d v="2026-02-07T18:42:53"/>
    <x v="4"/>
    <x v="1"/>
    <x v="0"/>
    <n v="5273953"/>
    <x v="5"/>
    <s v="Connected"/>
    <s v="No"/>
    <x v="0"/>
    <x v="2"/>
    <m/>
    <x v="0"/>
  </r>
  <r>
    <x v="168"/>
    <d v="2026-02-08T00:08:39"/>
    <x v="4"/>
    <x v="0"/>
    <x v="2"/>
    <n v="9132406"/>
    <x v="5"/>
    <s v="Connected"/>
    <s v="No"/>
    <x v="1"/>
    <x v="1"/>
    <n v="8400000"/>
    <x v="3"/>
  </r>
  <r>
    <x v="169"/>
    <d v="2026-02-08T05:34:25"/>
    <x v="3"/>
    <x v="5"/>
    <x v="0"/>
    <n v="5493779"/>
    <x v="1"/>
    <s v="Connected"/>
    <s v="No"/>
    <x v="0"/>
    <x v="2"/>
    <m/>
    <x v="0"/>
  </r>
  <r>
    <x v="170"/>
    <d v="2026-02-08T11:00:11"/>
    <x v="3"/>
    <x v="3"/>
    <x v="2"/>
    <n v="7514101"/>
    <x v="2"/>
    <s v="Connected"/>
    <s v="Yes"/>
    <x v="1"/>
    <x v="1"/>
    <n v="7250000"/>
    <x v="0"/>
  </r>
  <r>
    <x v="171"/>
    <d v="2026-02-08T16:25:57"/>
    <x v="4"/>
    <x v="2"/>
    <x v="0"/>
    <n v="5025006"/>
    <x v="5"/>
    <s v="Not Connected"/>
    <s v="Yes"/>
    <x v="0"/>
    <x v="0"/>
    <m/>
    <x v="0"/>
  </r>
  <r>
    <x v="172"/>
    <d v="2026-02-08T21:51:43"/>
    <x v="5"/>
    <x v="3"/>
    <x v="0"/>
    <n v="5729459"/>
    <x v="1"/>
    <s v="Not Connected"/>
    <s v="No"/>
    <x v="0"/>
    <x v="2"/>
    <m/>
    <x v="0"/>
  </r>
  <r>
    <x v="173"/>
    <d v="2026-02-09T03:17:29"/>
    <x v="0"/>
    <x v="0"/>
    <x v="1"/>
    <n v="7102147"/>
    <x v="1"/>
    <s v="Connected"/>
    <s v="Yes"/>
    <x v="1"/>
    <x v="1"/>
    <n v="6650000"/>
    <x v="0"/>
  </r>
  <r>
    <x v="174"/>
    <d v="2026-02-09T08:43:15"/>
    <x v="3"/>
    <x v="3"/>
    <x v="0"/>
    <n v="3306093"/>
    <x v="5"/>
    <s v="Connected"/>
    <s v="Yes"/>
    <x v="1"/>
    <x v="1"/>
    <n v="3450000"/>
    <x v="1"/>
  </r>
  <r>
    <x v="175"/>
    <d v="2026-02-09T14:09:01"/>
    <x v="4"/>
    <x v="1"/>
    <x v="1"/>
    <n v="2852935"/>
    <x v="5"/>
    <s v="Connected"/>
    <s v="No"/>
    <x v="0"/>
    <x v="2"/>
    <m/>
    <x v="2"/>
  </r>
  <r>
    <x v="176"/>
    <d v="2026-02-09T19:34:46"/>
    <x v="3"/>
    <x v="4"/>
    <x v="0"/>
    <n v="3516479"/>
    <x v="2"/>
    <s v="Connected"/>
    <s v="Yes"/>
    <x v="1"/>
    <x v="0"/>
    <m/>
    <x v="1"/>
  </r>
  <r>
    <x v="177"/>
    <d v="2026-02-10T01:00:32"/>
    <x v="0"/>
    <x v="0"/>
    <x v="2"/>
    <n v="8436831"/>
    <x v="4"/>
    <s v="Connected"/>
    <s v="Yes"/>
    <x v="1"/>
    <x v="0"/>
    <m/>
    <x v="3"/>
  </r>
  <r>
    <x v="178"/>
    <d v="2026-02-10T06:26:18"/>
    <x v="1"/>
    <x v="4"/>
    <x v="2"/>
    <n v="6355054"/>
    <x v="5"/>
    <s v="Not Connected"/>
    <s v="No"/>
    <x v="0"/>
    <x v="1"/>
    <n v="5950000"/>
    <x v="0"/>
  </r>
  <r>
    <x v="179"/>
    <d v="2026-02-10T11:52:04"/>
    <x v="4"/>
    <x v="1"/>
    <x v="0"/>
    <n v="5755716"/>
    <x v="2"/>
    <s v="Connected"/>
    <s v="No"/>
    <x v="0"/>
    <x v="2"/>
    <m/>
    <x v="0"/>
  </r>
  <r>
    <x v="180"/>
    <d v="2026-02-10T17:17:50"/>
    <x v="0"/>
    <x v="2"/>
    <x v="0"/>
    <n v="5251732"/>
    <x v="3"/>
    <s v="Connected"/>
    <s v="Yes"/>
    <x v="1"/>
    <x v="1"/>
    <n v="5100000"/>
    <x v="0"/>
  </r>
  <r>
    <x v="181"/>
    <d v="2026-02-10T22:43:36"/>
    <x v="4"/>
    <x v="5"/>
    <x v="0"/>
    <n v="6110413"/>
    <x v="4"/>
    <s v="Connected"/>
    <s v="No"/>
    <x v="0"/>
    <x v="2"/>
    <m/>
    <x v="0"/>
  </r>
  <r>
    <x v="182"/>
    <d v="2026-02-11T04:09:22"/>
    <x v="1"/>
    <x v="3"/>
    <x v="0"/>
    <n v="5292909"/>
    <x v="4"/>
    <s v="Connected"/>
    <s v="No"/>
    <x v="0"/>
    <x v="2"/>
    <m/>
    <x v="0"/>
  </r>
  <r>
    <x v="183"/>
    <d v="2026-02-11T09:35:08"/>
    <x v="2"/>
    <x v="2"/>
    <x v="0"/>
    <n v="6075247"/>
    <x v="0"/>
    <s v="Connected"/>
    <s v="No"/>
    <x v="0"/>
    <x v="2"/>
    <m/>
    <x v="0"/>
  </r>
  <r>
    <x v="184"/>
    <d v="2026-02-11T15:00:54"/>
    <x v="0"/>
    <x v="0"/>
    <x v="2"/>
    <n v="6700636"/>
    <x v="3"/>
    <s v="Connected"/>
    <s v="No"/>
    <x v="0"/>
    <x v="2"/>
    <m/>
    <x v="0"/>
  </r>
  <r>
    <x v="185"/>
    <d v="2026-02-11T20:26:40"/>
    <x v="3"/>
    <x v="2"/>
    <x v="1"/>
    <n v="4552093"/>
    <x v="2"/>
    <s v="Not Connected"/>
    <s v="No"/>
    <x v="0"/>
    <x v="2"/>
    <m/>
    <x v="1"/>
  </r>
  <r>
    <x v="186"/>
    <d v="2026-02-12T01:52:26"/>
    <x v="2"/>
    <x v="3"/>
    <x v="1"/>
    <n v="2270050"/>
    <x v="1"/>
    <s v="Connected"/>
    <s v="Yes"/>
    <x v="1"/>
    <x v="0"/>
    <m/>
    <x v="2"/>
  </r>
  <r>
    <x v="187"/>
    <d v="2026-02-12T07:18:12"/>
    <x v="5"/>
    <x v="0"/>
    <x v="2"/>
    <n v="7988415"/>
    <x v="4"/>
    <s v="Not Connected"/>
    <s v="No"/>
    <x v="0"/>
    <x v="2"/>
    <m/>
    <x v="0"/>
  </r>
  <r>
    <x v="188"/>
    <d v="2026-02-12T12:43:58"/>
    <x v="5"/>
    <x v="5"/>
    <x v="2"/>
    <n v="10989271"/>
    <x v="2"/>
    <s v="Connected"/>
    <s v="Yes"/>
    <x v="1"/>
    <x v="0"/>
    <m/>
    <x v="3"/>
  </r>
  <r>
    <x v="189"/>
    <d v="2026-02-12T18:09:44"/>
    <x v="0"/>
    <x v="3"/>
    <x v="2"/>
    <n v="7594874"/>
    <x v="5"/>
    <s v="Connected"/>
    <s v="Yes"/>
    <x v="0"/>
    <x v="0"/>
    <m/>
    <x v="0"/>
  </r>
  <r>
    <x v="190"/>
    <d v="2026-02-12T23:35:30"/>
    <x v="4"/>
    <x v="0"/>
    <x v="0"/>
    <n v="4441246"/>
    <x v="1"/>
    <s v="Connected"/>
    <s v="No"/>
    <x v="0"/>
    <x v="2"/>
    <m/>
    <x v="1"/>
  </r>
  <r>
    <x v="191"/>
    <d v="2026-02-13T05:01:16"/>
    <x v="2"/>
    <x v="1"/>
    <x v="1"/>
    <n v="3270171"/>
    <x v="2"/>
    <s v="Connected"/>
    <s v="Yes"/>
    <x v="0"/>
    <x v="1"/>
    <n v="3100000"/>
    <x v="1"/>
  </r>
  <r>
    <x v="192"/>
    <d v="2026-02-13T10:27:02"/>
    <x v="1"/>
    <x v="5"/>
    <x v="2"/>
    <n v="7344385"/>
    <x v="4"/>
    <s v="Connected"/>
    <s v="No"/>
    <x v="1"/>
    <x v="1"/>
    <n v="7550000"/>
    <x v="0"/>
  </r>
  <r>
    <x v="193"/>
    <d v="2026-02-13T15:52:48"/>
    <x v="3"/>
    <x v="3"/>
    <x v="2"/>
    <n v="11038033"/>
    <x v="1"/>
    <s v="Connected"/>
    <s v="Yes"/>
    <x v="0"/>
    <x v="0"/>
    <m/>
    <x v="3"/>
  </r>
  <r>
    <x v="194"/>
    <d v="2026-02-13T21:18:34"/>
    <x v="0"/>
    <x v="0"/>
    <x v="0"/>
    <n v="3656030"/>
    <x v="4"/>
    <s v="Not Connected"/>
    <s v="Yes"/>
    <x v="1"/>
    <x v="0"/>
    <m/>
    <x v="1"/>
  </r>
  <r>
    <x v="195"/>
    <d v="2026-02-14T02:44:19"/>
    <x v="0"/>
    <x v="2"/>
    <x v="0"/>
    <n v="5997405"/>
    <x v="5"/>
    <s v="Connected"/>
    <s v="No"/>
    <x v="0"/>
    <x v="2"/>
    <m/>
    <x v="0"/>
  </r>
  <r>
    <x v="196"/>
    <d v="2026-02-14T08:10:05"/>
    <x v="3"/>
    <x v="2"/>
    <x v="0"/>
    <n v="4365039"/>
    <x v="1"/>
    <s v="Connected"/>
    <s v="Yes"/>
    <x v="0"/>
    <x v="1"/>
    <n v="4200000"/>
    <x v="1"/>
  </r>
  <r>
    <x v="197"/>
    <d v="2026-02-14T13:35:51"/>
    <x v="2"/>
    <x v="2"/>
    <x v="1"/>
    <n v="2744360"/>
    <x v="2"/>
    <s v="Not Connected"/>
    <s v="Yes"/>
    <x v="0"/>
    <x v="0"/>
    <m/>
    <x v="2"/>
  </r>
  <r>
    <x v="198"/>
    <d v="2026-02-14T19:01:37"/>
    <x v="2"/>
    <x v="4"/>
    <x v="0"/>
    <n v="5452165"/>
    <x v="5"/>
    <s v="Not Connected"/>
    <s v="No"/>
    <x v="0"/>
    <x v="2"/>
    <m/>
    <x v="0"/>
  </r>
  <r>
    <x v="199"/>
    <d v="2026-02-15T00:27:23"/>
    <x v="2"/>
    <x v="0"/>
    <x v="0"/>
    <n v="4952414"/>
    <x v="5"/>
    <s v="Not Connected"/>
    <s v="No"/>
    <x v="0"/>
    <x v="2"/>
    <m/>
    <x v="1"/>
  </r>
  <r>
    <x v="200"/>
    <d v="2026-02-15T05:53:09"/>
    <x v="3"/>
    <x v="4"/>
    <x v="1"/>
    <n v="4846586"/>
    <x v="3"/>
    <s v="Connected"/>
    <s v="Yes"/>
    <x v="0"/>
    <x v="0"/>
    <m/>
    <x v="1"/>
  </r>
  <r>
    <x v="201"/>
    <d v="2026-02-15T11:18:55"/>
    <x v="4"/>
    <x v="0"/>
    <x v="0"/>
    <n v="5612549"/>
    <x v="5"/>
    <s v="Not Connected"/>
    <s v="No"/>
    <x v="0"/>
    <x v="2"/>
    <m/>
    <x v="0"/>
  </r>
  <r>
    <x v="202"/>
    <d v="2026-02-15T16:44:41"/>
    <x v="4"/>
    <x v="0"/>
    <x v="0"/>
    <n v="4482795"/>
    <x v="1"/>
    <s v="Connected"/>
    <s v="Yes"/>
    <x v="1"/>
    <x v="0"/>
    <m/>
    <x v="1"/>
  </r>
  <r>
    <x v="203"/>
    <d v="2026-02-15T22:10:27"/>
    <x v="2"/>
    <x v="5"/>
    <x v="0"/>
    <n v="6421607"/>
    <x v="3"/>
    <s v="Connected"/>
    <s v="No"/>
    <x v="0"/>
    <x v="2"/>
    <m/>
    <x v="0"/>
  </r>
  <r>
    <x v="204"/>
    <d v="2026-02-16T03:36:13"/>
    <x v="3"/>
    <x v="1"/>
    <x v="2"/>
    <n v="9715359"/>
    <x v="2"/>
    <s v="Connected"/>
    <s v="No"/>
    <x v="1"/>
    <x v="2"/>
    <m/>
    <x v="3"/>
  </r>
  <r>
    <x v="205"/>
    <d v="2026-02-16T09:01:59"/>
    <x v="4"/>
    <x v="4"/>
    <x v="1"/>
    <n v="7043322"/>
    <x v="4"/>
    <s v="Connected"/>
    <s v="Yes"/>
    <x v="1"/>
    <x v="0"/>
    <m/>
    <x v="0"/>
  </r>
  <r>
    <x v="206"/>
    <d v="2026-02-16T14:27:45"/>
    <x v="4"/>
    <x v="3"/>
    <x v="0"/>
    <n v="8542755"/>
    <x v="0"/>
    <s v="Connected"/>
    <s v="Yes"/>
    <x v="1"/>
    <x v="0"/>
    <m/>
    <x v="3"/>
  </r>
  <r>
    <x v="207"/>
    <d v="2026-02-16T19:53:31"/>
    <x v="3"/>
    <x v="1"/>
    <x v="1"/>
    <n v="1697097"/>
    <x v="5"/>
    <s v="Connected"/>
    <s v="No"/>
    <x v="1"/>
    <x v="2"/>
    <m/>
    <x v="2"/>
  </r>
  <r>
    <x v="208"/>
    <d v="2026-02-17T01:19:17"/>
    <x v="4"/>
    <x v="0"/>
    <x v="0"/>
    <n v="4788214"/>
    <x v="2"/>
    <s v="Connected"/>
    <s v="Yes"/>
    <x v="0"/>
    <x v="1"/>
    <n v="5000000"/>
    <x v="1"/>
  </r>
  <r>
    <x v="209"/>
    <d v="2026-02-17T06:45:03"/>
    <x v="4"/>
    <x v="2"/>
    <x v="1"/>
    <n v="4133388"/>
    <x v="4"/>
    <s v="Connected"/>
    <s v="Yes"/>
    <x v="0"/>
    <x v="0"/>
    <m/>
    <x v="1"/>
  </r>
  <r>
    <x v="210"/>
    <d v="2026-02-17T12:10:49"/>
    <x v="5"/>
    <x v="5"/>
    <x v="2"/>
    <n v="10977325"/>
    <x v="2"/>
    <s v="Connected"/>
    <s v="Yes"/>
    <x v="0"/>
    <x v="1"/>
    <n v="10150000"/>
    <x v="3"/>
  </r>
  <r>
    <x v="211"/>
    <d v="2026-02-17T17:36:35"/>
    <x v="3"/>
    <x v="1"/>
    <x v="1"/>
    <n v="3454152"/>
    <x v="4"/>
    <s v="Not Connected"/>
    <s v="Yes"/>
    <x v="0"/>
    <x v="0"/>
    <m/>
    <x v="1"/>
  </r>
  <r>
    <x v="212"/>
    <d v="2026-02-17T23:02:21"/>
    <x v="3"/>
    <x v="0"/>
    <x v="0"/>
    <n v="5849433"/>
    <x v="4"/>
    <s v="Not Connected"/>
    <s v="No"/>
    <x v="0"/>
    <x v="2"/>
    <m/>
    <x v="0"/>
  </r>
  <r>
    <x v="213"/>
    <d v="2026-02-18T04:28:06"/>
    <x v="0"/>
    <x v="4"/>
    <x v="1"/>
    <n v="1795866"/>
    <x v="1"/>
    <s v="Connected"/>
    <s v="Yes"/>
    <x v="1"/>
    <x v="0"/>
    <m/>
    <x v="2"/>
  </r>
  <r>
    <x v="214"/>
    <d v="2026-02-18T09:53:52"/>
    <x v="3"/>
    <x v="3"/>
    <x v="2"/>
    <n v="17155116"/>
    <x v="1"/>
    <s v="Not Connected"/>
    <s v="No"/>
    <x v="0"/>
    <x v="2"/>
    <m/>
    <x v="4"/>
  </r>
  <r>
    <x v="215"/>
    <d v="2026-02-18T15:19:38"/>
    <x v="0"/>
    <x v="0"/>
    <x v="0"/>
    <n v="5832560"/>
    <x v="2"/>
    <s v="Connected"/>
    <s v="Yes"/>
    <x v="0"/>
    <x v="0"/>
    <m/>
    <x v="0"/>
  </r>
  <r>
    <x v="216"/>
    <d v="2026-02-18T20:45:24"/>
    <x v="0"/>
    <x v="0"/>
    <x v="1"/>
    <n v="1549522"/>
    <x v="4"/>
    <s v="Connected"/>
    <s v="Yes"/>
    <x v="1"/>
    <x v="0"/>
    <m/>
    <x v="2"/>
  </r>
  <r>
    <x v="217"/>
    <d v="2026-02-19T02:11:10"/>
    <x v="2"/>
    <x v="3"/>
    <x v="0"/>
    <n v="5921970"/>
    <x v="4"/>
    <s v="Connected"/>
    <s v="Yes"/>
    <x v="0"/>
    <x v="0"/>
    <m/>
    <x v="0"/>
  </r>
  <r>
    <x v="218"/>
    <d v="2026-02-19T07:36:56"/>
    <x v="3"/>
    <x v="3"/>
    <x v="1"/>
    <n v="6815921"/>
    <x v="1"/>
    <s v="Not Connected"/>
    <s v="No"/>
    <x v="0"/>
    <x v="2"/>
    <m/>
    <x v="0"/>
  </r>
  <r>
    <x v="219"/>
    <d v="2026-02-19T13:02:42"/>
    <x v="2"/>
    <x v="0"/>
    <x v="0"/>
    <n v="3207352"/>
    <x v="4"/>
    <s v="Not Connected"/>
    <s v="No"/>
    <x v="0"/>
    <x v="2"/>
    <m/>
    <x v="1"/>
  </r>
  <r>
    <x v="220"/>
    <d v="2026-02-19T18:28:28"/>
    <x v="3"/>
    <x v="2"/>
    <x v="2"/>
    <n v="6798658"/>
    <x v="2"/>
    <s v="Connected"/>
    <s v="Yes"/>
    <x v="1"/>
    <x v="1"/>
    <n v="6350000"/>
    <x v="0"/>
  </r>
  <r>
    <x v="221"/>
    <d v="2026-02-19T23:54:14"/>
    <x v="5"/>
    <x v="0"/>
    <x v="0"/>
    <n v="5758625"/>
    <x v="2"/>
    <s v="Connected"/>
    <s v="Yes"/>
    <x v="1"/>
    <x v="1"/>
    <n v="5450000"/>
    <x v="0"/>
  </r>
  <r>
    <x v="222"/>
    <d v="2026-02-20T05:20:00"/>
    <x v="4"/>
    <x v="5"/>
    <x v="0"/>
    <n v="5505536"/>
    <x v="4"/>
    <s v="Connected"/>
    <s v="Yes"/>
    <x v="1"/>
    <x v="1"/>
    <n v="5650000"/>
    <x v="0"/>
  </r>
  <r>
    <x v="223"/>
    <d v="2026-02-20T10:45:46"/>
    <x v="0"/>
    <x v="2"/>
    <x v="0"/>
    <n v="4310073"/>
    <x v="0"/>
    <s v="Connected"/>
    <s v="No"/>
    <x v="0"/>
    <x v="2"/>
    <m/>
    <x v="1"/>
  </r>
  <r>
    <x v="224"/>
    <d v="2026-02-20T16:11:32"/>
    <x v="0"/>
    <x v="5"/>
    <x v="0"/>
    <n v="3379747"/>
    <x v="2"/>
    <s v="Connected"/>
    <s v="No"/>
    <x v="0"/>
    <x v="2"/>
    <m/>
    <x v="1"/>
  </r>
  <r>
    <x v="225"/>
    <d v="2026-02-20T21:37:18"/>
    <x v="0"/>
    <x v="3"/>
    <x v="0"/>
    <n v="5152874"/>
    <x v="4"/>
    <s v="Connected"/>
    <s v="Yes"/>
    <x v="0"/>
    <x v="0"/>
    <m/>
    <x v="0"/>
  </r>
  <r>
    <x v="226"/>
    <d v="2026-02-21T03:03:04"/>
    <x v="1"/>
    <x v="5"/>
    <x v="0"/>
    <n v="6041327"/>
    <x v="4"/>
    <s v="Connected"/>
    <s v="Yes"/>
    <x v="0"/>
    <x v="0"/>
    <m/>
    <x v="0"/>
  </r>
  <r>
    <x v="227"/>
    <d v="2026-02-21T08:28:50"/>
    <x v="0"/>
    <x v="0"/>
    <x v="2"/>
    <n v="8968759"/>
    <x v="0"/>
    <s v="Not Connected"/>
    <s v="Yes"/>
    <x v="0"/>
    <x v="0"/>
    <m/>
    <x v="3"/>
  </r>
  <r>
    <x v="228"/>
    <d v="2026-02-21T13:54:36"/>
    <x v="2"/>
    <x v="2"/>
    <x v="0"/>
    <n v="8971896"/>
    <x v="4"/>
    <s v="Connected"/>
    <s v="Yes"/>
    <x v="1"/>
    <x v="1"/>
    <n v="9300000"/>
    <x v="3"/>
  </r>
  <r>
    <x v="229"/>
    <d v="2026-02-21T19:20:22"/>
    <x v="3"/>
    <x v="5"/>
    <x v="0"/>
    <n v="3937828"/>
    <x v="2"/>
    <s v="Not Connected"/>
    <s v="No"/>
    <x v="0"/>
    <x v="1"/>
    <n v="3650000"/>
    <x v="1"/>
  </r>
  <r>
    <x v="230"/>
    <d v="2026-02-22T00:46:08"/>
    <x v="2"/>
    <x v="2"/>
    <x v="2"/>
    <n v="9434049"/>
    <x v="4"/>
    <s v="Connected"/>
    <s v="Yes"/>
    <x v="0"/>
    <x v="0"/>
    <m/>
    <x v="3"/>
  </r>
  <r>
    <x v="231"/>
    <d v="2026-02-22T06:11:54"/>
    <x v="5"/>
    <x v="0"/>
    <x v="0"/>
    <n v="3528036"/>
    <x v="4"/>
    <s v="Connected"/>
    <s v="Yes"/>
    <x v="0"/>
    <x v="0"/>
    <m/>
    <x v="1"/>
  </r>
  <r>
    <x v="232"/>
    <d v="2026-02-22T11:37:39"/>
    <x v="5"/>
    <x v="0"/>
    <x v="1"/>
    <n v="2367196"/>
    <x v="5"/>
    <s v="Connected"/>
    <s v="Yes"/>
    <x v="0"/>
    <x v="0"/>
    <m/>
    <x v="2"/>
  </r>
  <r>
    <x v="233"/>
    <d v="2026-02-22T17:03:25"/>
    <x v="5"/>
    <x v="0"/>
    <x v="1"/>
    <n v="5999075"/>
    <x v="1"/>
    <s v="Connected"/>
    <s v="No"/>
    <x v="0"/>
    <x v="2"/>
    <m/>
    <x v="0"/>
  </r>
  <r>
    <x v="234"/>
    <d v="2026-02-22T22:29:11"/>
    <x v="4"/>
    <x v="3"/>
    <x v="2"/>
    <n v="9174620"/>
    <x v="3"/>
    <s v="Connected"/>
    <s v="Yes"/>
    <x v="1"/>
    <x v="0"/>
    <m/>
    <x v="3"/>
  </r>
  <r>
    <x v="235"/>
    <d v="2026-02-23T03:54:57"/>
    <x v="3"/>
    <x v="5"/>
    <x v="2"/>
    <n v="8444975"/>
    <x v="4"/>
    <s v="Connected"/>
    <s v="Yes"/>
    <x v="0"/>
    <x v="0"/>
    <m/>
    <x v="3"/>
  </r>
  <r>
    <x v="236"/>
    <d v="2026-02-23T09:20:43"/>
    <x v="0"/>
    <x v="2"/>
    <x v="1"/>
    <n v="1675607"/>
    <x v="4"/>
    <s v="Connected"/>
    <s v="Yes"/>
    <x v="0"/>
    <x v="0"/>
    <m/>
    <x v="2"/>
  </r>
  <r>
    <x v="237"/>
    <d v="2026-02-23T14:46:29"/>
    <x v="4"/>
    <x v="1"/>
    <x v="0"/>
    <n v="3352156"/>
    <x v="0"/>
    <s v="Connected"/>
    <s v="Yes"/>
    <x v="1"/>
    <x v="0"/>
    <m/>
    <x v="1"/>
  </r>
  <r>
    <x v="238"/>
    <d v="2026-02-23T20:12:15"/>
    <x v="3"/>
    <x v="2"/>
    <x v="0"/>
    <n v="4151052"/>
    <x v="4"/>
    <s v="Connected"/>
    <s v="Yes"/>
    <x v="0"/>
    <x v="0"/>
    <m/>
    <x v="1"/>
  </r>
  <r>
    <x v="239"/>
    <d v="2026-02-24T01:38:01"/>
    <x v="4"/>
    <x v="0"/>
    <x v="0"/>
    <n v="5121826"/>
    <x v="4"/>
    <s v="Connected"/>
    <s v="Yes"/>
    <x v="0"/>
    <x v="0"/>
    <m/>
    <x v="0"/>
  </r>
  <r>
    <x v="240"/>
    <d v="2026-02-24T07:03:47"/>
    <x v="1"/>
    <x v="2"/>
    <x v="2"/>
    <n v="9417473"/>
    <x v="2"/>
    <s v="Connected"/>
    <s v="No"/>
    <x v="1"/>
    <x v="2"/>
    <m/>
    <x v="3"/>
  </r>
  <r>
    <x v="241"/>
    <d v="2026-02-24T12:29:33"/>
    <x v="1"/>
    <x v="4"/>
    <x v="0"/>
    <n v="6052128"/>
    <x v="2"/>
    <s v="Connected"/>
    <s v="Yes"/>
    <x v="0"/>
    <x v="0"/>
    <m/>
    <x v="0"/>
  </r>
  <r>
    <x v="242"/>
    <d v="2026-02-24T17:55:19"/>
    <x v="1"/>
    <x v="4"/>
    <x v="2"/>
    <n v="14062363"/>
    <x v="5"/>
    <s v="Connected"/>
    <s v="Yes"/>
    <x v="0"/>
    <x v="0"/>
    <m/>
    <x v="4"/>
  </r>
  <r>
    <x v="243"/>
    <d v="2026-02-24T23:21:05"/>
    <x v="0"/>
    <x v="4"/>
    <x v="1"/>
    <n v="7007339"/>
    <x v="1"/>
    <s v="Not Connected"/>
    <s v="Yes"/>
    <x v="0"/>
    <x v="0"/>
    <m/>
    <x v="0"/>
  </r>
  <r>
    <x v="244"/>
    <d v="2026-02-25T04:46:51"/>
    <x v="4"/>
    <x v="4"/>
    <x v="1"/>
    <n v="7434139"/>
    <x v="1"/>
    <s v="Connected"/>
    <s v="Yes"/>
    <x v="0"/>
    <x v="0"/>
    <m/>
    <x v="0"/>
  </r>
  <r>
    <x v="245"/>
    <d v="2026-02-25T10:12:37"/>
    <x v="1"/>
    <x v="3"/>
    <x v="0"/>
    <n v="4985834"/>
    <x v="1"/>
    <s v="Connected"/>
    <s v="No"/>
    <x v="0"/>
    <x v="2"/>
    <m/>
    <x v="1"/>
  </r>
  <r>
    <x v="246"/>
    <d v="2026-02-25T15:38:23"/>
    <x v="5"/>
    <x v="0"/>
    <x v="0"/>
    <n v="3023386"/>
    <x v="4"/>
    <s v="Connected"/>
    <s v="Yes"/>
    <x v="1"/>
    <x v="0"/>
    <m/>
    <x v="1"/>
  </r>
  <r>
    <x v="247"/>
    <d v="2026-02-25T21:04:09"/>
    <x v="1"/>
    <x v="0"/>
    <x v="1"/>
    <n v="2839022"/>
    <x v="1"/>
    <s v="Connected"/>
    <s v="No"/>
    <x v="1"/>
    <x v="1"/>
    <n v="2600000"/>
    <x v="2"/>
  </r>
  <r>
    <x v="248"/>
    <d v="2026-02-26T02:29:55"/>
    <x v="1"/>
    <x v="2"/>
    <x v="2"/>
    <n v="6849776"/>
    <x v="5"/>
    <s v="Connected"/>
    <s v="Yes"/>
    <x v="1"/>
    <x v="1"/>
    <n v="6950000"/>
    <x v="0"/>
  </r>
  <r>
    <x v="249"/>
    <d v="2026-02-26T07:55:41"/>
    <x v="2"/>
    <x v="3"/>
    <x v="0"/>
    <n v="6969451"/>
    <x v="1"/>
    <s v="Not Connected"/>
    <s v="No"/>
    <x v="0"/>
    <x v="2"/>
    <m/>
    <x v="0"/>
  </r>
  <r>
    <x v="250"/>
    <d v="2026-02-26T13:21:26"/>
    <x v="0"/>
    <x v="4"/>
    <x v="0"/>
    <n v="3201202"/>
    <x v="5"/>
    <s v="Not Connected"/>
    <s v="No"/>
    <x v="0"/>
    <x v="2"/>
    <m/>
    <x v="1"/>
  </r>
  <r>
    <x v="251"/>
    <d v="2026-02-26T18:47:12"/>
    <x v="0"/>
    <x v="1"/>
    <x v="1"/>
    <n v="1614589"/>
    <x v="4"/>
    <s v="Connected"/>
    <s v="Yes"/>
    <x v="1"/>
    <x v="1"/>
    <n v="1500000"/>
    <x v="2"/>
  </r>
  <r>
    <x v="252"/>
    <d v="2026-02-27T00:12:58"/>
    <x v="2"/>
    <x v="0"/>
    <x v="2"/>
    <n v="6193839"/>
    <x v="0"/>
    <s v="Connected"/>
    <s v="Yes"/>
    <x v="1"/>
    <x v="1"/>
    <n v="5800000"/>
    <x v="0"/>
  </r>
  <r>
    <x v="253"/>
    <d v="2026-02-27T05:38:44"/>
    <x v="0"/>
    <x v="0"/>
    <x v="1"/>
    <n v="2006453"/>
    <x v="2"/>
    <s v="Connected"/>
    <s v="Yes"/>
    <x v="1"/>
    <x v="0"/>
    <m/>
    <x v="2"/>
  </r>
  <r>
    <x v="254"/>
    <d v="2026-02-27T11:04:30"/>
    <x v="4"/>
    <x v="3"/>
    <x v="1"/>
    <n v="2329901"/>
    <x v="1"/>
    <s v="Connected"/>
    <s v="No"/>
    <x v="0"/>
    <x v="2"/>
    <m/>
    <x v="2"/>
  </r>
  <r>
    <x v="255"/>
    <d v="2026-02-27T16:30:16"/>
    <x v="5"/>
    <x v="5"/>
    <x v="2"/>
    <n v="16640177"/>
    <x v="5"/>
    <s v="Connected"/>
    <s v="No"/>
    <x v="0"/>
    <x v="2"/>
    <m/>
    <x v="4"/>
  </r>
  <r>
    <x v="256"/>
    <d v="2026-02-27T21:56:02"/>
    <x v="1"/>
    <x v="0"/>
    <x v="0"/>
    <n v="6062528"/>
    <x v="5"/>
    <s v="Connected"/>
    <s v="Yes"/>
    <x v="0"/>
    <x v="0"/>
    <m/>
    <x v="0"/>
  </r>
  <r>
    <x v="257"/>
    <d v="2026-02-28T03:21:48"/>
    <x v="3"/>
    <x v="1"/>
    <x v="0"/>
    <n v="3439503"/>
    <x v="4"/>
    <s v="Connected"/>
    <s v="Yes"/>
    <x v="0"/>
    <x v="0"/>
    <m/>
    <x v="1"/>
  </r>
  <r>
    <x v="258"/>
    <d v="2026-02-28T08:47:34"/>
    <x v="5"/>
    <x v="0"/>
    <x v="0"/>
    <n v="3096393"/>
    <x v="5"/>
    <s v="Not Connected"/>
    <s v="No"/>
    <x v="0"/>
    <x v="2"/>
    <m/>
    <x v="1"/>
  </r>
  <r>
    <x v="259"/>
    <d v="2026-02-28T14:13:20"/>
    <x v="4"/>
    <x v="1"/>
    <x v="0"/>
    <n v="3595484"/>
    <x v="4"/>
    <s v="Connected"/>
    <s v="No"/>
    <x v="0"/>
    <x v="2"/>
    <m/>
    <x v="1"/>
  </r>
  <r>
    <x v="260"/>
    <d v="2026-02-28T19:39:06"/>
    <x v="3"/>
    <x v="0"/>
    <x v="2"/>
    <n v="9978082"/>
    <x v="5"/>
    <s v="Connected"/>
    <s v="Yes"/>
    <x v="0"/>
    <x v="0"/>
    <m/>
    <x v="3"/>
  </r>
  <r>
    <x v="261"/>
    <d v="2026-03-01T01:04:52"/>
    <x v="1"/>
    <x v="4"/>
    <x v="2"/>
    <n v="10899147"/>
    <x v="2"/>
    <s v="Not Connected"/>
    <s v="No"/>
    <x v="0"/>
    <x v="2"/>
    <m/>
    <x v="3"/>
  </r>
  <r>
    <x v="262"/>
    <d v="2026-03-01T06:30:38"/>
    <x v="4"/>
    <x v="5"/>
    <x v="1"/>
    <n v="3638000"/>
    <x v="1"/>
    <s v="Connected"/>
    <s v="No"/>
    <x v="1"/>
    <x v="1"/>
    <n v="3350000"/>
    <x v="1"/>
  </r>
  <r>
    <x v="263"/>
    <d v="2026-03-01T11:56:24"/>
    <x v="5"/>
    <x v="1"/>
    <x v="0"/>
    <n v="6422968"/>
    <x v="5"/>
    <s v="Not Connected"/>
    <s v="No"/>
    <x v="0"/>
    <x v="2"/>
    <m/>
    <x v="0"/>
  </r>
  <r>
    <x v="264"/>
    <d v="2026-03-01T17:22:10"/>
    <x v="2"/>
    <x v="0"/>
    <x v="2"/>
    <n v="7684449"/>
    <x v="2"/>
    <s v="Connected"/>
    <s v="Yes"/>
    <x v="1"/>
    <x v="1"/>
    <n v="7100000"/>
    <x v="0"/>
  </r>
  <r>
    <x v="265"/>
    <d v="2026-03-01T22:47:56"/>
    <x v="2"/>
    <x v="0"/>
    <x v="2"/>
    <n v="7433284"/>
    <x v="1"/>
    <s v="Connected"/>
    <s v="No"/>
    <x v="0"/>
    <x v="2"/>
    <m/>
    <x v="0"/>
  </r>
  <r>
    <x v="266"/>
    <d v="2026-03-02T04:13:42"/>
    <x v="3"/>
    <x v="5"/>
    <x v="2"/>
    <n v="10798757"/>
    <x v="5"/>
    <s v="Not Connected"/>
    <s v="Yes"/>
    <x v="0"/>
    <x v="0"/>
    <m/>
    <x v="3"/>
  </r>
  <r>
    <x v="267"/>
    <d v="2026-03-02T09:39:28"/>
    <x v="3"/>
    <x v="1"/>
    <x v="2"/>
    <n v="14788108"/>
    <x v="4"/>
    <s v="Connected"/>
    <s v="Yes"/>
    <x v="0"/>
    <x v="0"/>
    <m/>
    <x v="4"/>
  </r>
  <r>
    <x v="268"/>
    <d v="2026-03-02T15:05:14"/>
    <x v="0"/>
    <x v="3"/>
    <x v="0"/>
    <n v="5382422"/>
    <x v="4"/>
    <s v="Connected"/>
    <s v="Yes"/>
    <x v="0"/>
    <x v="0"/>
    <m/>
    <x v="0"/>
  </r>
  <r>
    <x v="269"/>
    <d v="2026-03-02T20:30:59"/>
    <x v="0"/>
    <x v="5"/>
    <x v="0"/>
    <n v="5601268"/>
    <x v="2"/>
    <s v="Connected"/>
    <s v="No"/>
    <x v="1"/>
    <x v="2"/>
    <m/>
    <x v="0"/>
  </r>
  <r>
    <x v="270"/>
    <d v="2026-03-03T01:56:45"/>
    <x v="2"/>
    <x v="3"/>
    <x v="0"/>
    <n v="6918830"/>
    <x v="5"/>
    <s v="Connected"/>
    <s v="Yes"/>
    <x v="1"/>
    <x v="0"/>
    <m/>
    <x v="0"/>
  </r>
  <r>
    <x v="271"/>
    <d v="2026-03-03T07:22:31"/>
    <x v="2"/>
    <x v="2"/>
    <x v="0"/>
    <n v="3749450"/>
    <x v="1"/>
    <s v="Connected"/>
    <s v="No"/>
    <x v="0"/>
    <x v="2"/>
    <m/>
    <x v="1"/>
  </r>
  <r>
    <x v="272"/>
    <d v="2026-03-03T12:48:17"/>
    <x v="2"/>
    <x v="4"/>
    <x v="0"/>
    <n v="5043899"/>
    <x v="1"/>
    <s v="Not Connected"/>
    <s v="No"/>
    <x v="0"/>
    <x v="1"/>
    <n v="4800000"/>
    <x v="0"/>
  </r>
  <r>
    <x v="273"/>
    <d v="2026-03-03T18:14:03"/>
    <x v="1"/>
    <x v="0"/>
    <x v="2"/>
    <n v="8825330"/>
    <x v="5"/>
    <s v="Not Connected"/>
    <s v="No"/>
    <x v="1"/>
    <x v="1"/>
    <n v="8200000"/>
    <x v="3"/>
  </r>
  <r>
    <x v="274"/>
    <d v="2026-03-03T23:39:49"/>
    <x v="5"/>
    <x v="1"/>
    <x v="1"/>
    <n v="2541482"/>
    <x v="0"/>
    <s v="Not Connected"/>
    <s v="No"/>
    <x v="0"/>
    <x v="2"/>
    <m/>
    <x v="2"/>
  </r>
  <r>
    <x v="275"/>
    <d v="2026-03-04T05:05:35"/>
    <x v="6"/>
    <x v="0"/>
    <x v="2"/>
    <n v="7543812"/>
    <x v="2"/>
    <s v="Connected"/>
    <s v="Yes"/>
    <x v="1"/>
    <x v="0"/>
    <m/>
    <x v="0"/>
  </r>
  <r>
    <x v="276"/>
    <d v="2026-03-04T10:31:21"/>
    <x v="2"/>
    <x v="0"/>
    <x v="2"/>
    <n v="6865256"/>
    <x v="1"/>
    <s v="Connected"/>
    <s v="Yes"/>
    <x v="0"/>
    <x v="0"/>
    <m/>
    <x v="0"/>
  </r>
  <r>
    <x v="277"/>
    <d v="2026-03-04T15:57:07"/>
    <x v="3"/>
    <x v="2"/>
    <x v="0"/>
    <n v="3000917"/>
    <x v="4"/>
    <s v="Connected"/>
    <s v="No"/>
    <x v="1"/>
    <x v="1"/>
    <n v="2900000"/>
    <x v="1"/>
  </r>
  <r>
    <x v="278"/>
    <d v="2026-03-04T21:22:53"/>
    <x v="3"/>
    <x v="0"/>
    <x v="2"/>
    <n v="6851007"/>
    <x v="5"/>
    <s v="Not Connected"/>
    <s v="No"/>
    <x v="0"/>
    <x v="2"/>
    <m/>
    <x v="0"/>
  </r>
  <r>
    <x v="279"/>
    <d v="2026-03-05T02:48:39"/>
    <x v="2"/>
    <x v="1"/>
    <x v="0"/>
    <n v="5587681"/>
    <x v="0"/>
    <s v="Connected"/>
    <s v="Yes"/>
    <x v="0"/>
    <x v="0"/>
    <m/>
    <x v="0"/>
  </r>
  <r>
    <x v="280"/>
    <d v="2026-03-05T08:14:25"/>
    <x v="2"/>
    <x v="3"/>
    <x v="0"/>
    <n v="3262091"/>
    <x v="5"/>
    <s v="Not Connected"/>
    <s v="No"/>
    <x v="0"/>
    <x v="2"/>
    <m/>
    <x v="1"/>
  </r>
  <r>
    <x v="281"/>
    <d v="2026-03-05T13:40:11"/>
    <x v="0"/>
    <x v="3"/>
    <x v="0"/>
    <n v="3585457"/>
    <x v="5"/>
    <s v="Not Connected"/>
    <s v="Yes"/>
    <x v="0"/>
    <x v="0"/>
    <m/>
    <x v="1"/>
  </r>
  <r>
    <x v="282"/>
    <d v="2026-03-05T19:05:57"/>
    <x v="0"/>
    <x v="1"/>
    <x v="0"/>
    <n v="6445693"/>
    <x v="4"/>
    <s v="Connected"/>
    <s v="No"/>
    <x v="0"/>
    <x v="2"/>
    <m/>
    <x v="0"/>
  </r>
  <r>
    <x v="283"/>
    <d v="2026-03-06T00:31:43"/>
    <x v="4"/>
    <x v="0"/>
    <x v="0"/>
    <n v="6749266"/>
    <x v="4"/>
    <s v="Connected"/>
    <s v="Yes"/>
    <x v="0"/>
    <x v="1"/>
    <n v="6950000"/>
    <x v="0"/>
  </r>
  <r>
    <x v="284"/>
    <d v="2026-03-06T05:57:29"/>
    <x v="5"/>
    <x v="5"/>
    <x v="0"/>
    <n v="4262703"/>
    <x v="4"/>
    <s v="Not Connected"/>
    <s v="Yes"/>
    <x v="0"/>
    <x v="0"/>
    <m/>
    <x v="1"/>
  </r>
  <r>
    <x v="285"/>
    <d v="2026-03-06T11:23:15"/>
    <x v="4"/>
    <x v="1"/>
    <x v="0"/>
    <n v="3203834"/>
    <x v="5"/>
    <s v="Not Connected"/>
    <s v="Yes"/>
    <x v="0"/>
    <x v="0"/>
    <m/>
    <x v="1"/>
  </r>
  <r>
    <x v="286"/>
    <d v="2026-03-06T16:49:01"/>
    <x v="5"/>
    <x v="0"/>
    <x v="1"/>
    <n v="4135372"/>
    <x v="1"/>
    <s v="Connected"/>
    <s v="Yes"/>
    <x v="0"/>
    <x v="0"/>
    <m/>
    <x v="1"/>
  </r>
  <r>
    <x v="287"/>
    <d v="2026-03-06T22:14:46"/>
    <x v="5"/>
    <x v="5"/>
    <x v="0"/>
    <n v="5159988"/>
    <x v="1"/>
    <s v="Connected"/>
    <s v="Yes"/>
    <x v="1"/>
    <x v="0"/>
    <m/>
    <x v="0"/>
  </r>
  <r>
    <x v="288"/>
    <d v="2026-03-07T03:40:32"/>
    <x v="0"/>
    <x v="0"/>
    <x v="0"/>
    <n v="8047420"/>
    <x v="5"/>
    <s v="Not Connected"/>
    <s v="Yes"/>
    <x v="0"/>
    <x v="0"/>
    <m/>
    <x v="3"/>
  </r>
  <r>
    <x v="289"/>
    <d v="2026-03-07T09:06:18"/>
    <x v="3"/>
    <x v="0"/>
    <x v="0"/>
    <n v="4636286"/>
    <x v="0"/>
    <s v="Connected"/>
    <s v="Yes"/>
    <x v="0"/>
    <x v="0"/>
    <m/>
    <x v="1"/>
  </r>
  <r>
    <x v="290"/>
    <d v="2026-03-07T14:32:04"/>
    <x v="4"/>
    <x v="5"/>
    <x v="2"/>
    <n v="14213698"/>
    <x v="5"/>
    <s v="Connected"/>
    <s v="No"/>
    <x v="0"/>
    <x v="2"/>
    <m/>
    <x v="4"/>
  </r>
  <r>
    <x v="291"/>
    <d v="2026-03-07T19:57:50"/>
    <x v="4"/>
    <x v="0"/>
    <x v="0"/>
    <n v="5174534"/>
    <x v="1"/>
    <s v="Connected"/>
    <s v="No"/>
    <x v="1"/>
    <x v="1"/>
    <n v="5000000"/>
    <x v="0"/>
  </r>
  <r>
    <x v="292"/>
    <d v="2026-03-08T01:23:36"/>
    <x v="2"/>
    <x v="1"/>
    <x v="0"/>
    <n v="6358998"/>
    <x v="4"/>
    <s v="Connected"/>
    <s v="Yes"/>
    <x v="1"/>
    <x v="0"/>
    <m/>
    <x v="0"/>
  </r>
  <r>
    <x v="293"/>
    <d v="2026-03-08T06:49:22"/>
    <x v="0"/>
    <x v="3"/>
    <x v="0"/>
    <n v="4786664"/>
    <x v="1"/>
    <s v="Connected"/>
    <s v="Yes"/>
    <x v="0"/>
    <x v="0"/>
    <m/>
    <x v="1"/>
  </r>
  <r>
    <x v="294"/>
    <d v="2026-03-08T12:15:08"/>
    <x v="4"/>
    <x v="4"/>
    <x v="0"/>
    <n v="4429290"/>
    <x v="4"/>
    <s v="Connected"/>
    <s v="Yes"/>
    <x v="1"/>
    <x v="0"/>
    <m/>
    <x v="1"/>
  </r>
  <r>
    <x v="295"/>
    <d v="2026-03-08T17:40:54"/>
    <x v="5"/>
    <x v="0"/>
    <x v="0"/>
    <n v="3023559"/>
    <x v="2"/>
    <s v="Connected"/>
    <s v="Yes"/>
    <x v="1"/>
    <x v="0"/>
    <m/>
    <x v="1"/>
  </r>
  <r>
    <x v="296"/>
    <d v="2026-03-08T23:06:40"/>
    <x v="2"/>
    <x v="0"/>
    <x v="0"/>
    <n v="4399769"/>
    <x v="5"/>
    <s v="Connected"/>
    <s v="Yes"/>
    <x v="1"/>
    <x v="1"/>
    <n v="4450000"/>
    <x v="1"/>
  </r>
  <r>
    <x v="297"/>
    <d v="2026-03-09T04:32:26"/>
    <x v="0"/>
    <x v="0"/>
    <x v="0"/>
    <n v="3444755"/>
    <x v="0"/>
    <s v="Not Connected"/>
    <s v="Yes"/>
    <x v="0"/>
    <x v="0"/>
    <m/>
    <x v="1"/>
  </r>
  <r>
    <x v="298"/>
    <d v="2026-03-09T09:58:12"/>
    <x v="3"/>
    <x v="3"/>
    <x v="0"/>
    <n v="6939440"/>
    <x v="4"/>
    <s v="Not Connected"/>
    <s v="No"/>
    <x v="0"/>
    <x v="2"/>
    <m/>
    <x v="0"/>
  </r>
  <r>
    <x v="299"/>
    <d v="2026-03-09T15:23:58"/>
    <x v="4"/>
    <x v="3"/>
    <x v="0"/>
    <n v="4915467"/>
    <x v="1"/>
    <s v="Not Connected"/>
    <s v="No"/>
    <x v="0"/>
    <x v="2"/>
    <m/>
    <x v="1"/>
  </r>
  <r>
    <x v="300"/>
    <d v="2026-03-09T20:49:44"/>
    <x v="4"/>
    <x v="0"/>
    <x v="1"/>
    <n v="2375564"/>
    <x v="1"/>
    <s v="Connected"/>
    <s v="No"/>
    <x v="0"/>
    <x v="2"/>
    <m/>
    <x v="2"/>
  </r>
  <r>
    <x v="301"/>
    <d v="2026-03-10T02:15:30"/>
    <x v="5"/>
    <x v="2"/>
    <x v="2"/>
    <n v="17759920"/>
    <x v="1"/>
    <s v="Connected"/>
    <s v="Yes"/>
    <x v="0"/>
    <x v="0"/>
    <m/>
    <x v="4"/>
  </r>
  <r>
    <x v="302"/>
    <d v="2026-03-10T07:41:16"/>
    <x v="5"/>
    <x v="0"/>
    <x v="0"/>
    <n v="4154262"/>
    <x v="2"/>
    <s v="Connected"/>
    <s v="Yes"/>
    <x v="0"/>
    <x v="0"/>
    <m/>
    <x v="1"/>
  </r>
  <r>
    <x v="303"/>
    <d v="2026-03-10T13:07:02"/>
    <x v="3"/>
    <x v="1"/>
    <x v="0"/>
    <n v="3947272"/>
    <x v="2"/>
    <s v="Not Connected"/>
    <s v="No"/>
    <x v="0"/>
    <x v="2"/>
    <m/>
    <x v="1"/>
  </r>
  <r>
    <x v="304"/>
    <d v="2026-03-10T18:32:48"/>
    <x v="3"/>
    <x v="3"/>
    <x v="1"/>
    <n v="6746725"/>
    <x v="2"/>
    <s v="Connected"/>
    <s v="Yes"/>
    <x v="1"/>
    <x v="0"/>
    <m/>
    <x v="0"/>
  </r>
  <r>
    <x v="305"/>
    <d v="2026-03-10T23:58:34"/>
    <x v="1"/>
    <x v="2"/>
    <x v="0"/>
    <n v="8906127"/>
    <x v="3"/>
    <s v="Connected"/>
    <s v="Yes"/>
    <x v="0"/>
    <x v="1"/>
    <n v="8300000"/>
    <x v="3"/>
  </r>
  <r>
    <x v="306"/>
    <d v="2026-03-11T05:24:19"/>
    <x v="5"/>
    <x v="3"/>
    <x v="0"/>
    <n v="5956953"/>
    <x v="2"/>
    <s v="Connected"/>
    <s v="Yes"/>
    <x v="1"/>
    <x v="1"/>
    <n v="6000000"/>
    <x v="0"/>
  </r>
  <r>
    <x v="307"/>
    <d v="2026-03-11T10:50:05"/>
    <x v="0"/>
    <x v="4"/>
    <x v="2"/>
    <n v="11541887"/>
    <x v="4"/>
    <s v="Connected"/>
    <s v="No"/>
    <x v="1"/>
    <x v="1"/>
    <n v="11100000"/>
    <x v="3"/>
  </r>
  <r>
    <x v="308"/>
    <d v="2026-03-11T16:15:51"/>
    <x v="2"/>
    <x v="5"/>
    <x v="0"/>
    <n v="4531086"/>
    <x v="1"/>
    <s v="Connected"/>
    <s v="Yes"/>
    <x v="0"/>
    <x v="0"/>
    <m/>
    <x v="1"/>
  </r>
  <r>
    <x v="309"/>
    <d v="2026-03-11T21:41:37"/>
    <x v="0"/>
    <x v="4"/>
    <x v="0"/>
    <n v="3524006"/>
    <x v="4"/>
    <s v="Not Connected"/>
    <s v="No"/>
    <x v="0"/>
    <x v="2"/>
    <m/>
    <x v="1"/>
  </r>
  <r>
    <x v="310"/>
    <d v="2026-03-12T03:07:23"/>
    <x v="5"/>
    <x v="0"/>
    <x v="0"/>
    <n v="3340912"/>
    <x v="5"/>
    <s v="Not Connected"/>
    <s v="No"/>
    <x v="0"/>
    <x v="2"/>
    <m/>
    <x v="1"/>
  </r>
  <r>
    <x v="311"/>
    <d v="2026-03-12T08:33:09"/>
    <x v="4"/>
    <x v="2"/>
    <x v="1"/>
    <n v="4252138"/>
    <x v="2"/>
    <s v="Connected"/>
    <s v="No"/>
    <x v="0"/>
    <x v="2"/>
    <m/>
    <x v="1"/>
  </r>
  <r>
    <x v="312"/>
    <d v="2026-03-12T13:58:55"/>
    <x v="4"/>
    <x v="1"/>
    <x v="0"/>
    <n v="7112243"/>
    <x v="1"/>
    <s v="Not Connected"/>
    <s v="Yes"/>
    <x v="0"/>
    <x v="0"/>
    <m/>
    <x v="0"/>
  </r>
  <r>
    <x v="313"/>
    <d v="2026-03-12T19:24:41"/>
    <x v="1"/>
    <x v="4"/>
    <x v="2"/>
    <n v="9990018"/>
    <x v="5"/>
    <s v="Connected"/>
    <s v="No"/>
    <x v="1"/>
    <x v="2"/>
    <m/>
    <x v="3"/>
  </r>
  <r>
    <x v="314"/>
    <d v="2026-03-13T00:50:27"/>
    <x v="2"/>
    <x v="1"/>
    <x v="1"/>
    <n v="2976971"/>
    <x v="5"/>
    <s v="Not Connected"/>
    <s v="No"/>
    <x v="0"/>
    <x v="2"/>
    <m/>
    <x v="2"/>
  </r>
  <r>
    <x v="315"/>
    <d v="2026-03-13T06:16:13"/>
    <x v="3"/>
    <x v="3"/>
    <x v="0"/>
    <n v="4467130"/>
    <x v="1"/>
    <s v="Connected"/>
    <s v="Yes"/>
    <x v="0"/>
    <x v="0"/>
    <m/>
    <x v="1"/>
  </r>
  <r>
    <x v="316"/>
    <d v="2026-03-13T11:41:59"/>
    <x v="5"/>
    <x v="1"/>
    <x v="0"/>
    <n v="4532102"/>
    <x v="4"/>
    <s v="Connected"/>
    <s v="No"/>
    <x v="0"/>
    <x v="2"/>
    <m/>
    <x v="1"/>
  </r>
  <r>
    <x v="317"/>
    <d v="2026-03-13T17:07:45"/>
    <x v="4"/>
    <x v="3"/>
    <x v="0"/>
    <n v="8642772"/>
    <x v="1"/>
    <s v="Connected"/>
    <s v="Yes"/>
    <x v="1"/>
    <x v="1"/>
    <n v="8800000"/>
    <x v="3"/>
  </r>
  <r>
    <x v="318"/>
    <d v="2026-03-13T22:33:31"/>
    <x v="4"/>
    <x v="0"/>
    <x v="0"/>
    <n v="3412755"/>
    <x v="4"/>
    <s v="Not Connected"/>
    <s v="No"/>
    <x v="0"/>
    <x v="2"/>
    <m/>
    <x v="1"/>
  </r>
  <r>
    <x v="319"/>
    <d v="2026-03-14T03:59:17"/>
    <x v="0"/>
    <x v="0"/>
    <x v="0"/>
    <n v="8662302"/>
    <x v="1"/>
    <s v="Connected"/>
    <s v="Yes"/>
    <x v="1"/>
    <x v="0"/>
    <m/>
    <x v="3"/>
  </r>
  <r>
    <x v="320"/>
    <d v="2026-03-14T09:25:03"/>
    <x v="5"/>
    <x v="0"/>
    <x v="1"/>
    <n v="2246055"/>
    <x v="4"/>
    <s v="Connected"/>
    <s v="Yes"/>
    <x v="1"/>
    <x v="0"/>
    <m/>
    <x v="2"/>
  </r>
  <r>
    <x v="321"/>
    <d v="2026-03-14T14:50:49"/>
    <x v="3"/>
    <x v="0"/>
    <x v="2"/>
    <n v="6206903"/>
    <x v="5"/>
    <s v="Connected"/>
    <s v="Yes"/>
    <x v="0"/>
    <x v="0"/>
    <m/>
    <x v="0"/>
  </r>
  <r>
    <x v="322"/>
    <d v="2026-03-14T20:16:35"/>
    <x v="3"/>
    <x v="2"/>
    <x v="2"/>
    <n v="7038218"/>
    <x v="5"/>
    <s v="Not Connected"/>
    <s v="No"/>
    <x v="0"/>
    <x v="2"/>
    <m/>
    <x v="0"/>
  </r>
  <r>
    <x v="323"/>
    <d v="2026-03-15T01:42:21"/>
    <x v="0"/>
    <x v="0"/>
    <x v="0"/>
    <n v="3287623"/>
    <x v="4"/>
    <s v="Connected"/>
    <s v="No"/>
    <x v="0"/>
    <x v="2"/>
    <m/>
    <x v="1"/>
  </r>
  <r>
    <x v="324"/>
    <d v="2026-03-15T07:08:06"/>
    <x v="1"/>
    <x v="2"/>
    <x v="1"/>
    <n v="1555863"/>
    <x v="1"/>
    <s v="Connected"/>
    <s v="No"/>
    <x v="0"/>
    <x v="2"/>
    <m/>
    <x v="2"/>
  </r>
  <r>
    <x v="325"/>
    <d v="2026-03-15T12:33:52"/>
    <x v="2"/>
    <x v="5"/>
    <x v="1"/>
    <n v="1995654"/>
    <x v="5"/>
    <s v="Connected"/>
    <s v="No"/>
    <x v="0"/>
    <x v="1"/>
    <n v="1850000"/>
    <x v="2"/>
  </r>
  <r>
    <x v="326"/>
    <d v="2026-03-15T17:59:38"/>
    <x v="5"/>
    <x v="0"/>
    <x v="1"/>
    <n v="2277635"/>
    <x v="1"/>
    <s v="Connected"/>
    <s v="Yes"/>
    <x v="0"/>
    <x v="0"/>
    <m/>
    <x v="2"/>
  </r>
  <r>
    <x v="327"/>
    <d v="2026-03-15T23:25:24"/>
    <x v="3"/>
    <x v="4"/>
    <x v="0"/>
    <n v="4778496"/>
    <x v="5"/>
    <s v="Not Connected"/>
    <s v="Yes"/>
    <x v="0"/>
    <x v="0"/>
    <m/>
    <x v="1"/>
  </r>
  <r>
    <x v="328"/>
    <d v="2026-03-16T04:51:10"/>
    <x v="5"/>
    <x v="3"/>
    <x v="2"/>
    <n v="12831258"/>
    <x v="4"/>
    <s v="Connected"/>
    <s v="No"/>
    <x v="0"/>
    <x v="2"/>
    <m/>
    <x v="4"/>
  </r>
  <r>
    <x v="329"/>
    <d v="2026-03-16T10:16:56"/>
    <x v="0"/>
    <x v="1"/>
    <x v="0"/>
    <n v="6379263"/>
    <x v="1"/>
    <s v="Connected"/>
    <s v="No"/>
    <x v="1"/>
    <x v="1"/>
    <n v="6600000"/>
    <x v="0"/>
  </r>
  <r>
    <x v="330"/>
    <d v="2026-03-16T15:42:42"/>
    <x v="0"/>
    <x v="1"/>
    <x v="0"/>
    <n v="5823174"/>
    <x v="4"/>
    <s v="Connected"/>
    <s v="Yes"/>
    <x v="1"/>
    <x v="1"/>
    <n v="5550000"/>
    <x v="0"/>
  </r>
  <r>
    <x v="331"/>
    <d v="2026-03-16T21:08:28"/>
    <x v="2"/>
    <x v="3"/>
    <x v="0"/>
    <n v="7200034"/>
    <x v="2"/>
    <s v="Not Connected"/>
    <s v="Yes"/>
    <x v="0"/>
    <x v="0"/>
    <m/>
    <x v="0"/>
  </r>
  <r>
    <x v="332"/>
    <d v="2026-03-17T02:34:14"/>
    <x v="4"/>
    <x v="0"/>
    <x v="2"/>
    <n v="11166507"/>
    <x v="1"/>
    <s v="Connected"/>
    <s v="Yes"/>
    <x v="0"/>
    <x v="0"/>
    <m/>
    <x v="3"/>
  </r>
  <r>
    <x v="333"/>
    <d v="2026-03-17T08:00:00"/>
    <x v="4"/>
    <x v="2"/>
    <x v="2"/>
    <n v="8903552"/>
    <x v="3"/>
    <s v="Connected"/>
    <s v="Yes"/>
    <x v="0"/>
    <x v="0"/>
    <m/>
    <x v="3"/>
  </r>
  <r>
    <x v="334"/>
    <d v="2026-03-17T13:25:46"/>
    <x v="4"/>
    <x v="2"/>
    <x v="0"/>
    <n v="3569829"/>
    <x v="4"/>
    <s v="Not Connected"/>
    <s v="Yes"/>
    <x v="0"/>
    <x v="0"/>
    <m/>
    <x v="1"/>
  </r>
  <r>
    <x v="335"/>
    <d v="2026-03-17T18:51:32"/>
    <x v="4"/>
    <x v="3"/>
    <x v="0"/>
    <n v="6223520"/>
    <x v="4"/>
    <s v="Connected"/>
    <s v="No"/>
    <x v="0"/>
    <x v="2"/>
    <m/>
    <x v="0"/>
  </r>
  <r>
    <x v="336"/>
    <d v="2026-03-18T00:17:18"/>
    <x v="2"/>
    <x v="0"/>
    <x v="0"/>
    <n v="3907179"/>
    <x v="4"/>
    <s v="Not Connected"/>
    <s v="No"/>
    <x v="0"/>
    <x v="2"/>
    <m/>
    <x v="1"/>
  </r>
  <r>
    <x v="337"/>
    <d v="2026-03-18T05:43:04"/>
    <x v="3"/>
    <x v="3"/>
    <x v="0"/>
    <n v="3177597"/>
    <x v="4"/>
    <s v="Connected"/>
    <s v="Yes"/>
    <x v="0"/>
    <x v="0"/>
    <m/>
    <x v="1"/>
  </r>
  <r>
    <x v="338"/>
    <d v="2026-03-18T11:08:50"/>
    <x v="5"/>
    <x v="0"/>
    <x v="0"/>
    <n v="7961313"/>
    <x v="4"/>
    <s v="Connected"/>
    <s v="Yes"/>
    <x v="0"/>
    <x v="0"/>
    <m/>
    <x v="0"/>
  </r>
  <r>
    <x v="339"/>
    <d v="2026-03-18T16:34:36"/>
    <x v="4"/>
    <x v="0"/>
    <x v="0"/>
    <n v="5836287"/>
    <x v="1"/>
    <s v="Connected"/>
    <s v="Yes"/>
    <x v="0"/>
    <x v="0"/>
    <m/>
    <x v="0"/>
  </r>
  <r>
    <x v="340"/>
    <d v="2026-03-18T22:00:22"/>
    <x v="5"/>
    <x v="0"/>
    <x v="2"/>
    <n v="7471926"/>
    <x v="5"/>
    <s v="Not Connected"/>
    <s v="Yes"/>
    <x v="0"/>
    <x v="0"/>
    <m/>
    <x v="0"/>
  </r>
  <r>
    <x v="341"/>
    <d v="2026-03-19T03:26:08"/>
    <x v="5"/>
    <x v="1"/>
    <x v="0"/>
    <n v="3645303"/>
    <x v="5"/>
    <s v="Connected"/>
    <s v="Yes"/>
    <x v="1"/>
    <x v="1"/>
    <n v="3500000"/>
    <x v="1"/>
  </r>
  <r>
    <x v="342"/>
    <d v="2026-03-19T08:51:54"/>
    <x v="4"/>
    <x v="2"/>
    <x v="0"/>
    <n v="4272597"/>
    <x v="1"/>
    <s v="Connected"/>
    <s v="Yes"/>
    <x v="0"/>
    <x v="0"/>
    <m/>
    <x v="1"/>
  </r>
  <r>
    <x v="343"/>
    <d v="2026-03-19T14:17:39"/>
    <x v="5"/>
    <x v="3"/>
    <x v="0"/>
    <n v="4795600"/>
    <x v="1"/>
    <s v="Not Connected"/>
    <s v="No"/>
    <x v="0"/>
    <x v="2"/>
    <m/>
    <x v="1"/>
  </r>
  <r>
    <x v="344"/>
    <d v="2026-03-19T19:43:25"/>
    <x v="0"/>
    <x v="4"/>
    <x v="1"/>
    <n v="3316364"/>
    <x v="1"/>
    <s v="Connected"/>
    <s v="Yes"/>
    <x v="1"/>
    <x v="1"/>
    <n v="3450000"/>
    <x v="1"/>
  </r>
  <r>
    <x v="345"/>
    <d v="2026-03-20T01:09:11"/>
    <x v="3"/>
    <x v="5"/>
    <x v="2"/>
    <n v="8616842"/>
    <x v="5"/>
    <s v="Connected"/>
    <s v="Yes"/>
    <x v="0"/>
    <x v="0"/>
    <m/>
    <x v="3"/>
  </r>
  <r>
    <x v="346"/>
    <d v="2026-03-20T06:34:57"/>
    <x v="3"/>
    <x v="5"/>
    <x v="2"/>
    <n v="7631734"/>
    <x v="2"/>
    <s v="Connected"/>
    <s v="Yes"/>
    <x v="1"/>
    <x v="0"/>
    <m/>
    <x v="0"/>
  </r>
  <r>
    <x v="347"/>
    <d v="2026-03-20T12:00:43"/>
    <x v="4"/>
    <x v="5"/>
    <x v="0"/>
    <n v="5330289"/>
    <x v="0"/>
    <s v="Connected"/>
    <s v="No"/>
    <x v="0"/>
    <x v="2"/>
    <m/>
    <x v="0"/>
  </r>
  <r>
    <x v="348"/>
    <d v="2026-03-20T17:26:29"/>
    <x v="0"/>
    <x v="2"/>
    <x v="2"/>
    <n v="10104244"/>
    <x v="0"/>
    <s v="Connected"/>
    <s v="Yes"/>
    <x v="0"/>
    <x v="0"/>
    <m/>
    <x v="3"/>
  </r>
  <r>
    <x v="349"/>
    <d v="2026-03-20T22:52:15"/>
    <x v="3"/>
    <x v="0"/>
    <x v="0"/>
    <n v="4285076"/>
    <x v="1"/>
    <s v="Connected"/>
    <s v="No"/>
    <x v="0"/>
    <x v="2"/>
    <m/>
    <x v="1"/>
  </r>
  <r>
    <x v="350"/>
    <d v="2026-03-21T04:18:01"/>
    <x v="5"/>
    <x v="2"/>
    <x v="2"/>
    <n v="10349040"/>
    <x v="2"/>
    <s v="Connected"/>
    <s v="Yes"/>
    <x v="0"/>
    <x v="0"/>
    <m/>
    <x v="3"/>
  </r>
  <r>
    <x v="351"/>
    <d v="2026-03-21T09:43:47"/>
    <x v="2"/>
    <x v="1"/>
    <x v="1"/>
    <n v="3036684"/>
    <x v="0"/>
    <s v="Connected"/>
    <s v="No"/>
    <x v="0"/>
    <x v="2"/>
    <m/>
    <x v="1"/>
  </r>
  <r>
    <x v="352"/>
    <d v="2026-03-21T15:09:33"/>
    <x v="3"/>
    <x v="5"/>
    <x v="2"/>
    <n v="9959411"/>
    <x v="1"/>
    <s v="Not Connected"/>
    <s v="No"/>
    <x v="0"/>
    <x v="2"/>
    <m/>
    <x v="3"/>
  </r>
  <r>
    <x v="353"/>
    <d v="2026-03-21T20:35:19"/>
    <x v="4"/>
    <x v="3"/>
    <x v="1"/>
    <n v="4342201"/>
    <x v="1"/>
    <s v="Not Connected"/>
    <s v="No"/>
    <x v="0"/>
    <x v="2"/>
    <m/>
    <x v="1"/>
  </r>
  <r>
    <x v="354"/>
    <d v="2026-03-22T02:01:05"/>
    <x v="4"/>
    <x v="1"/>
    <x v="2"/>
    <n v="14382866"/>
    <x v="0"/>
    <s v="Connected"/>
    <s v="No"/>
    <x v="0"/>
    <x v="2"/>
    <m/>
    <x v="4"/>
  </r>
  <r>
    <x v="355"/>
    <d v="2026-03-22T07:26:51"/>
    <x v="3"/>
    <x v="2"/>
    <x v="0"/>
    <n v="4238822"/>
    <x v="4"/>
    <s v="Not Connected"/>
    <s v="No"/>
    <x v="0"/>
    <x v="2"/>
    <m/>
    <x v="1"/>
  </r>
  <r>
    <x v="356"/>
    <d v="2026-03-22T12:52:37"/>
    <x v="4"/>
    <x v="2"/>
    <x v="1"/>
    <n v="4030489"/>
    <x v="1"/>
    <s v="Connected"/>
    <s v="No"/>
    <x v="1"/>
    <x v="2"/>
    <m/>
    <x v="1"/>
  </r>
  <r>
    <x v="357"/>
    <d v="2026-03-22T18:18:23"/>
    <x v="3"/>
    <x v="5"/>
    <x v="0"/>
    <n v="5058989"/>
    <x v="5"/>
    <s v="Connected"/>
    <s v="Yes"/>
    <x v="0"/>
    <x v="0"/>
    <m/>
    <x v="0"/>
  </r>
  <r>
    <x v="358"/>
    <d v="2026-03-22T23:44:09"/>
    <x v="1"/>
    <x v="0"/>
    <x v="0"/>
    <n v="8533649"/>
    <x v="5"/>
    <s v="Not Connected"/>
    <s v="Yes"/>
    <x v="0"/>
    <x v="0"/>
    <m/>
    <x v="3"/>
  </r>
  <r>
    <x v="359"/>
    <d v="2026-03-23T05:09:55"/>
    <x v="5"/>
    <x v="1"/>
    <x v="0"/>
    <n v="4479634"/>
    <x v="2"/>
    <s v="Connected"/>
    <s v="No"/>
    <x v="0"/>
    <x v="2"/>
    <m/>
    <x v="1"/>
  </r>
  <r>
    <x v="360"/>
    <d v="2026-03-23T10:35:41"/>
    <x v="0"/>
    <x v="2"/>
    <x v="0"/>
    <n v="5366492"/>
    <x v="4"/>
    <s v="Connected"/>
    <s v="No"/>
    <x v="0"/>
    <x v="2"/>
    <m/>
    <x v="0"/>
  </r>
  <r>
    <x v="361"/>
    <d v="2026-03-23T16:01:26"/>
    <x v="3"/>
    <x v="0"/>
    <x v="0"/>
    <n v="5419135"/>
    <x v="1"/>
    <s v="Not Connected"/>
    <s v="No"/>
    <x v="0"/>
    <x v="2"/>
    <m/>
    <x v="0"/>
  </r>
  <r>
    <x v="362"/>
    <d v="2026-03-23T21:27:12"/>
    <x v="5"/>
    <x v="3"/>
    <x v="0"/>
    <n v="3088059"/>
    <x v="5"/>
    <s v="Connected"/>
    <s v="Yes"/>
    <x v="1"/>
    <x v="0"/>
    <m/>
    <x v="1"/>
  </r>
  <r>
    <x v="363"/>
    <d v="2026-03-24T02:52:58"/>
    <x v="5"/>
    <x v="3"/>
    <x v="0"/>
    <n v="4942137"/>
    <x v="4"/>
    <s v="Not Connected"/>
    <s v="Yes"/>
    <x v="0"/>
    <x v="0"/>
    <m/>
    <x v="1"/>
  </r>
  <r>
    <x v="364"/>
    <d v="2026-03-24T08:18:44"/>
    <x v="1"/>
    <x v="3"/>
    <x v="2"/>
    <n v="9011163"/>
    <x v="4"/>
    <s v="Connected"/>
    <s v="Yes"/>
    <x v="0"/>
    <x v="0"/>
    <m/>
    <x v="3"/>
  </r>
  <r>
    <x v="365"/>
    <d v="2026-03-24T13:44:30"/>
    <x v="0"/>
    <x v="0"/>
    <x v="0"/>
    <n v="3329125"/>
    <x v="5"/>
    <s v="Connected"/>
    <s v="No"/>
    <x v="0"/>
    <x v="2"/>
    <m/>
    <x v="1"/>
  </r>
  <r>
    <x v="366"/>
    <d v="2026-03-24T19:10:16"/>
    <x v="1"/>
    <x v="3"/>
    <x v="0"/>
    <n v="7630549"/>
    <x v="0"/>
    <s v="Connected"/>
    <s v="Yes"/>
    <x v="0"/>
    <x v="0"/>
    <m/>
    <x v="0"/>
  </r>
  <r>
    <x v="367"/>
    <d v="2026-03-25T00:36:02"/>
    <x v="1"/>
    <x v="2"/>
    <x v="2"/>
    <n v="8279042"/>
    <x v="5"/>
    <s v="Connected"/>
    <s v="Yes"/>
    <x v="0"/>
    <x v="0"/>
    <m/>
    <x v="3"/>
  </r>
  <r>
    <x v="368"/>
    <d v="2026-03-25T06:01:48"/>
    <x v="4"/>
    <x v="0"/>
    <x v="0"/>
    <n v="3117473"/>
    <x v="1"/>
    <s v="Not Connected"/>
    <s v="No"/>
    <x v="0"/>
    <x v="2"/>
    <m/>
    <x v="1"/>
  </r>
  <r>
    <x v="369"/>
    <d v="2026-03-25T11:27:34"/>
    <x v="4"/>
    <x v="0"/>
    <x v="2"/>
    <n v="13440352"/>
    <x v="4"/>
    <s v="Connected"/>
    <s v="Yes"/>
    <x v="1"/>
    <x v="1"/>
    <n v="13400000"/>
    <x v="4"/>
  </r>
  <r>
    <x v="370"/>
    <d v="2026-03-25T16:53:20"/>
    <x v="4"/>
    <x v="2"/>
    <x v="2"/>
    <n v="17053128"/>
    <x v="1"/>
    <s v="Connected"/>
    <s v="Yes"/>
    <x v="1"/>
    <x v="1"/>
    <n v="16500000"/>
    <x v="4"/>
  </r>
  <r>
    <x v="371"/>
    <d v="2026-03-25T22:19:06"/>
    <x v="4"/>
    <x v="0"/>
    <x v="1"/>
    <n v="3325438"/>
    <x v="2"/>
    <s v="Connected"/>
    <s v="Yes"/>
    <x v="0"/>
    <x v="0"/>
    <m/>
    <x v="1"/>
  </r>
  <r>
    <x v="372"/>
    <d v="2026-03-26T03:44:52"/>
    <x v="4"/>
    <x v="4"/>
    <x v="2"/>
    <n v="8254029"/>
    <x v="2"/>
    <s v="Connected"/>
    <s v="Yes"/>
    <x v="0"/>
    <x v="0"/>
    <m/>
    <x v="3"/>
  </r>
  <r>
    <x v="373"/>
    <d v="2026-03-26T09:10:38"/>
    <x v="3"/>
    <x v="1"/>
    <x v="0"/>
    <n v="3872834"/>
    <x v="2"/>
    <s v="Connected"/>
    <s v="Yes"/>
    <x v="1"/>
    <x v="0"/>
    <m/>
    <x v="1"/>
  </r>
  <r>
    <x v="374"/>
    <d v="2026-03-26T14:36:24"/>
    <x v="4"/>
    <x v="0"/>
    <x v="2"/>
    <n v="12619697"/>
    <x v="5"/>
    <s v="Not Connected"/>
    <s v="No"/>
    <x v="0"/>
    <x v="2"/>
    <m/>
    <x v="4"/>
  </r>
  <r>
    <x v="375"/>
    <d v="2026-03-26T20:02:10"/>
    <x v="0"/>
    <x v="2"/>
    <x v="0"/>
    <n v="4620063"/>
    <x v="5"/>
    <s v="Connected"/>
    <s v="No"/>
    <x v="0"/>
    <x v="1"/>
    <n v="4800000"/>
    <x v="1"/>
  </r>
  <r>
    <x v="376"/>
    <d v="2026-03-27T01:27:56"/>
    <x v="2"/>
    <x v="1"/>
    <x v="0"/>
    <n v="4032499"/>
    <x v="1"/>
    <s v="Not Connected"/>
    <s v="No"/>
    <x v="0"/>
    <x v="2"/>
    <m/>
    <x v="1"/>
  </r>
  <r>
    <x v="377"/>
    <d v="2026-03-27T06:53:42"/>
    <x v="4"/>
    <x v="1"/>
    <x v="2"/>
    <n v="11840201"/>
    <x v="4"/>
    <s v="Not Connected"/>
    <s v="Yes"/>
    <x v="0"/>
    <x v="0"/>
    <m/>
    <x v="3"/>
  </r>
  <r>
    <x v="378"/>
    <d v="2026-03-27T12:19:28"/>
    <x v="2"/>
    <x v="5"/>
    <x v="0"/>
    <n v="3234196"/>
    <x v="2"/>
    <s v="Connected"/>
    <s v="No"/>
    <x v="0"/>
    <x v="2"/>
    <m/>
    <x v="1"/>
  </r>
  <r>
    <x v="379"/>
    <d v="2026-03-27T17:45:14"/>
    <x v="0"/>
    <x v="1"/>
    <x v="2"/>
    <n v="16477311"/>
    <x v="2"/>
    <s v="Connected"/>
    <s v="Yes"/>
    <x v="0"/>
    <x v="0"/>
    <m/>
    <x v="4"/>
  </r>
  <r>
    <x v="380"/>
    <d v="2026-03-27T23:10:59"/>
    <x v="4"/>
    <x v="0"/>
    <x v="1"/>
    <n v="2209132"/>
    <x v="2"/>
    <s v="Connected"/>
    <s v="No"/>
    <x v="0"/>
    <x v="2"/>
    <m/>
    <x v="2"/>
  </r>
  <r>
    <x v="381"/>
    <d v="2026-03-28T04:36:45"/>
    <x v="3"/>
    <x v="5"/>
    <x v="1"/>
    <n v="3789418"/>
    <x v="0"/>
    <s v="Connected"/>
    <s v="Yes"/>
    <x v="0"/>
    <x v="0"/>
    <m/>
    <x v="1"/>
  </r>
  <r>
    <x v="382"/>
    <d v="2026-03-28T10:02:31"/>
    <x v="3"/>
    <x v="2"/>
    <x v="1"/>
    <n v="4614100"/>
    <x v="2"/>
    <s v="Connected"/>
    <s v="No"/>
    <x v="0"/>
    <x v="2"/>
    <m/>
    <x v="1"/>
  </r>
  <r>
    <x v="383"/>
    <d v="2026-03-28T15:28:17"/>
    <x v="2"/>
    <x v="0"/>
    <x v="0"/>
    <n v="3524624"/>
    <x v="1"/>
    <s v="Connected"/>
    <s v="Yes"/>
    <x v="1"/>
    <x v="0"/>
    <m/>
    <x v="1"/>
  </r>
  <r>
    <x v="384"/>
    <d v="2026-03-28T20:54:03"/>
    <x v="2"/>
    <x v="3"/>
    <x v="0"/>
    <n v="4356256"/>
    <x v="1"/>
    <s v="Not Connected"/>
    <s v="No"/>
    <x v="0"/>
    <x v="2"/>
    <m/>
    <x v="1"/>
  </r>
  <r>
    <x v="385"/>
    <d v="2026-03-29T02:19:49"/>
    <x v="2"/>
    <x v="5"/>
    <x v="2"/>
    <n v="9730797"/>
    <x v="4"/>
    <s v="Not Connected"/>
    <s v="No"/>
    <x v="0"/>
    <x v="1"/>
    <n v="9350000"/>
    <x v="3"/>
  </r>
  <r>
    <x v="386"/>
    <d v="2026-03-29T07:45:35"/>
    <x v="0"/>
    <x v="4"/>
    <x v="0"/>
    <n v="4248313"/>
    <x v="5"/>
    <s v="Not Connected"/>
    <s v="No"/>
    <x v="0"/>
    <x v="1"/>
    <n v="3950000"/>
    <x v="1"/>
  </r>
  <r>
    <x v="387"/>
    <d v="2026-03-29T13:11:21"/>
    <x v="4"/>
    <x v="0"/>
    <x v="2"/>
    <n v="7119962"/>
    <x v="5"/>
    <s v="Connected"/>
    <s v="Yes"/>
    <x v="0"/>
    <x v="0"/>
    <m/>
    <x v="0"/>
  </r>
  <r>
    <x v="388"/>
    <d v="2026-03-29T18:37:07"/>
    <x v="2"/>
    <x v="2"/>
    <x v="2"/>
    <n v="7912493"/>
    <x v="4"/>
    <s v="Connected"/>
    <s v="No"/>
    <x v="0"/>
    <x v="2"/>
    <m/>
    <x v="0"/>
  </r>
  <r>
    <x v="389"/>
    <d v="2026-03-30T00:02:53"/>
    <x v="2"/>
    <x v="1"/>
    <x v="2"/>
    <n v="11482203"/>
    <x v="2"/>
    <s v="Connected"/>
    <s v="Yes"/>
    <x v="1"/>
    <x v="0"/>
    <m/>
    <x v="3"/>
  </r>
  <r>
    <x v="390"/>
    <d v="2026-03-30T05:28:39"/>
    <x v="1"/>
    <x v="0"/>
    <x v="0"/>
    <n v="3993978"/>
    <x v="5"/>
    <s v="Connected"/>
    <s v="Yes"/>
    <x v="1"/>
    <x v="1"/>
    <n v="4200000"/>
    <x v="1"/>
  </r>
  <r>
    <x v="391"/>
    <d v="2026-03-30T10:54:25"/>
    <x v="5"/>
    <x v="0"/>
    <x v="0"/>
    <n v="4876037"/>
    <x v="2"/>
    <s v="Connected"/>
    <s v="Yes"/>
    <x v="1"/>
    <x v="1"/>
    <n v="4650000"/>
    <x v="1"/>
  </r>
  <r>
    <x v="392"/>
    <d v="2026-03-30T16:20:11"/>
    <x v="0"/>
    <x v="0"/>
    <x v="0"/>
    <n v="5881849"/>
    <x v="2"/>
    <s v="Not Connected"/>
    <s v="No"/>
    <x v="0"/>
    <x v="2"/>
    <m/>
    <x v="0"/>
  </r>
  <r>
    <x v="393"/>
    <d v="2026-03-30T21:45:57"/>
    <x v="2"/>
    <x v="1"/>
    <x v="0"/>
    <n v="4582807"/>
    <x v="1"/>
    <s v="Not Connected"/>
    <s v="No"/>
    <x v="0"/>
    <x v="2"/>
    <m/>
    <x v="1"/>
  </r>
  <r>
    <x v="394"/>
    <d v="2026-03-31T03:11:43"/>
    <x v="0"/>
    <x v="5"/>
    <x v="1"/>
    <n v="4278674"/>
    <x v="5"/>
    <s v="Not Connected"/>
    <s v="No"/>
    <x v="0"/>
    <x v="2"/>
    <m/>
    <x v="1"/>
  </r>
  <r>
    <x v="395"/>
    <d v="2026-03-31T08:37:29"/>
    <x v="1"/>
    <x v="4"/>
    <x v="0"/>
    <n v="4697479"/>
    <x v="5"/>
    <s v="Connected"/>
    <s v="Yes"/>
    <x v="1"/>
    <x v="0"/>
    <m/>
    <x v="1"/>
  </r>
  <r>
    <x v="396"/>
    <d v="2026-03-31T14:03:15"/>
    <x v="2"/>
    <x v="5"/>
    <x v="0"/>
    <n v="8238461"/>
    <x v="2"/>
    <s v="Connected"/>
    <s v="No"/>
    <x v="0"/>
    <x v="2"/>
    <m/>
    <x v="3"/>
  </r>
  <r>
    <x v="397"/>
    <d v="2026-03-31T19:29:01"/>
    <x v="5"/>
    <x v="0"/>
    <x v="0"/>
    <n v="4937586"/>
    <x v="2"/>
    <s v="Connected"/>
    <s v="No"/>
    <x v="0"/>
    <x v="2"/>
    <m/>
    <x v="1"/>
  </r>
  <r>
    <x v="398"/>
    <d v="2026-04-01T00:54:46"/>
    <x v="2"/>
    <x v="3"/>
    <x v="2"/>
    <n v="6817108"/>
    <x v="0"/>
    <s v="Connected"/>
    <s v="No"/>
    <x v="0"/>
    <x v="2"/>
    <m/>
    <x v="0"/>
  </r>
  <r>
    <x v="399"/>
    <d v="2026-04-01T06:20:32"/>
    <x v="2"/>
    <x v="3"/>
    <x v="2"/>
    <n v="10779024"/>
    <x v="4"/>
    <s v="Not Connected"/>
    <s v="No"/>
    <x v="0"/>
    <x v="2"/>
    <m/>
    <x v="3"/>
  </r>
  <r>
    <x v="400"/>
    <d v="2026-04-01T11:46:18"/>
    <x v="4"/>
    <x v="0"/>
    <x v="0"/>
    <n v="4403815"/>
    <x v="5"/>
    <s v="Connected"/>
    <s v="No"/>
    <x v="0"/>
    <x v="2"/>
    <m/>
    <x v="1"/>
  </r>
  <r>
    <x v="401"/>
    <d v="2026-04-01T17:12:04"/>
    <x v="1"/>
    <x v="0"/>
    <x v="0"/>
    <n v="3475278"/>
    <x v="5"/>
    <s v="Connected"/>
    <s v="Yes"/>
    <x v="0"/>
    <x v="0"/>
    <m/>
    <x v="1"/>
  </r>
  <r>
    <x v="402"/>
    <d v="2026-04-01T22:37:50"/>
    <x v="5"/>
    <x v="0"/>
    <x v="0"/>
    <n v="6879594"/>
    <x v="2"/>
    <s v="Connected"/>
    <s v="Yes"/>
    <x v="1"/>
    <x v="0"/>
    <m/>
    <x v="0"/>
  </r>
  <r>
    <x v="403"/>
    <d v="2026-04-02T04:03:36"/>
    <x v="2"/>
    <x v="3"/>
    <x v="0"/>
    <n v="6020181"/>
    <x v="5"/>
    <s v="Connected"/>
    <s v="Yes"/>
    <x v="1"/>
    <x v="1"/>
    <n v="6200000"/>
    <x v="0"/>
  </r>
  <r>
    <x v="404"/>
    <d v="2026-04-02T09:29:22"/>
    <x v="0"/>
    <x v="3"/>
    <x v="2"/>
    <n v="6646045"/>
    <x v="1"/>
    <s v="Connected"/>
    <s v="Yes"/>
    <x v="1"/>
    <x v="1"/>
    <n v="6250000"/>
    <x v="0"/>
  </r>
  <r>
    <x v="405"/>
    <d v="2026-04-02T14:55:08"/>
    <x v="2"/>
    <x v="1"/>
    <x v="2"/>
    <n v="11414612"/>
    <x v="1"/>
    <s v="Connected"/>
    <s v="No"/>
    <x v="0"/>
    <x v="2"/>
    <m/>
    <x v="3"/>
  </r>
  <r>
    <x v="406"/>
    <d v="2026-04-02T20:20:54"/>
    <x v="0"/>
    <x v="4"/>
    <x v="0"/>
    <n v="7808015"/>
    <x v="5"/>
    <s v="Connected"/>
    <s v="Yes"/>
    <x v="0"/>
    <x v="0"/>
    <m/>
    <x v="0"/>
  </r>
  <r>
    <x v="407"/>
    <d v="2026-04-03T01:46:40"/>
    <x v="4"/>
    <x v="4"/>
    <x v="0"/>
    <n v="3297698"/>
    <x v="5"/>
    <s v="Not Connected"/>
    <s v="No"/>
    <x v="0"/>
    <x v="2"/>
    <m/>
    <x v="1"/>
  </r>
  <r>
    <x v="408"/>
    <d v="2026-04-03T07:12:26"/>
    <x v="1"/>
    <x v="1"/>
    <x v="1"/>
    <n v="3724688"/>
    <x v="1"/>
    <s v="Connected"/>
    <s v="No"/>
    <x v="0"/>
    <x v="2"/>
    <m/>
    <x v="1"/>
  </r>
  <r>
    <x v="409"/>
    <d v="2026-04-03T12:38:12"/>
    <x v="4"/>
    <x v="2"/>
    <x v="0"/>
    <n v="4279758"/>
    <x v="1"/>
    <s v="Connected"/>
    <s v="No"/>
    <x v="0"/>
    <x v="1"/>
    <n v="4350000"/>
    <x v="1"/>
  </r>
  <r>
    <x v="410"/>
    <d v="2026-04-03T18:03:58"/>
    <x v="0"/>
    <x v="0"/>
    <x v="2"/>
    <n v="9637614"/>
    <x v="5"/>
    <s v="Connected"/>
    <s v="Yes"/>
    <x v="0"/>
    <x v="0"/>
    <m/>
    <x v="3"/>
  </r>
  <r>
    <x v="411"/>
    <d v="2026-04-03T23:29:44"/>
    <x v="1"/>
    <x v="0"/>
    <x v="0"/>
    <n v="8615227"/>
    <x v="2"/>
    <s v="Connected"/>
    <s v="Yes"/>
    <x v="0"/>
    <x v="0"/>
    <m/>
    <x v="3"/>
  </r>
  <r>
    <x v="412"/>
    <d v="2026-04-04T04:55:30"/>
    <x v="1"/>
    <x v="0"/>
    <x v="0"/>
    <n v="3756967"/>
    <x v="2"/>
    <s v="Connected"/>
    <s v="No"/>
    <x v="0"/>
    <x v="2"/>
    <m/>
    <x v="1"/>
  </r>
  <r>
    <x v="413"/>
    <d v="2026-04-04T10:21:16"/>
    <x v="5"/>
    <x v="0"/>
    <x v="0"/>
    <n v="4208458"/>
    <x v="1"/>
    <s v="Connected"/>
    <s v="Yes"/>
    <x v="1"/>
    <x v="0"/>
    <m/>
    <x v="1"/>
  </r>
  <r>
    <x v="414"/>
    <d v="2026-04-04T15:47:02"/>
    <x v="3"/>
    <x v="1"/>
    <x v="0"/>
    <n v="5137791"/>
    <x v="2"/>
    <s v="Connected"/>
    <s v="Yes"/>
    <x v="0"/>
    <x v="0"/>
    <m/>
    <x v="0"/>
  </r>
  <r>
    <x v="415"/>
    <d v="2026-04-04T21:12:48"/>
    <x v="5"/>
    <x v="2"/>
    <x v="1"/>
    <n v="3502176"/>
    <x v="1"/>
    <s v="Connected"/>
    <s v="Yes"/>
    <x v="0"/>
    <x v="0"/>
    <m/>
    <x v="1"/>
  </r>
  <r>
    <x v="416"/>
    <d v="2026-04-05T02:38:34"/>
    <x v="0"/>
    <x v="0"/>
    <x v="0"/>
    <n v="4706549"/>
    <x v="4"/>
    <s v="Not Connected"/>
    <s v="No"/>
    <x v="0"/>
    <x v="2"/>
    <m/>
    <x v="1"/>
  </r>
  <r>
    <x v="417"/>
    <d v="2026-04-05T08:04:19"/>
    <x v="0"/>
    <x v="0"/>
    <x v="0"/>
    <n v="6363063"/>
    <x v="0"/>
    <s v="Connected"/>
    <s v="No"/>
    <x v="0"/>
    <x v="2"/>
    <m/>
    <x v="0"/>
  </r>
  <r>
    <x v="418"/>
    <d v="2026-04-05T13:30:05"/>
    <x v="3"/>
    <x v="1"/>
    <x v="0"/>
    <n v="8229005"/>
    <x v="2"/>
    <s v="Not Connected"/>
    <s v="Yes"/>
    <x v="0"/>
    <x v="0"/>
    <m/>
    <x v="3"/>
  </r>
  <r>
    <x v="419"/>
    <d v="2026-04-05T18:55:51"/>
    <x v="2"/>
    <x v="2"/>
    <x v="0"/>
    <n v="5881174"/>
    <x v="2"/>
    <s v="Connected"/>
    <s v="Yes"/>
    <x v="0"/>
    <x v="0"/>
    <m/>
    <x v="0"/>
  </r>
  <r>
    <x v="420"/>
    <d v="2026-04-06T00:21:37"/>
    <x v="2"/>
    <x v="5"/>
    <x v="0"/>
    <n v="3370608"/>
    <x v="5"/>
    <s v="Connected"/>
    <s v="Yes"/>
    <x v="1"/>
    <x v="0"/>
    <m/>
    <x v="1"/>
  </r>
  <r>
    <x v="421"/>
    <d v="2026-04-06T05:47:23"/>
    <x v="2"/>
    <x v="1"/>
    <x v="0"/>
    <n v="3154455"/>
    <x v="5"/>
    <s v="Connected"/>
    <s v="Yes"/>
    <x v="0"/>
    <x v="0"/>
    <m/>
    <x v="1"/>
  </r>
  <r>
    <x v="422"/>
    <d v="2026-04-06T11:13:09"/>
    <x v="4"/>
    <x v="0"/>
    <x v="2"/>
    <n v="8382962"/>
    <x v="0"/>
    <s v="Connected"/>
    <s v="Yes"/>
    <x v="0"/>
    <x v="0"/>
    <m/>
    <x v="3"/>
  </r>
  <r>
    <x v="423"/>
    <d v="2026-04-06T16:38:55"/>
    <x v="5"/>
    <x v="0"/>
    <x v="0"/>
    <n v="3427858"/>
    <x v="1"/>
    <s v="Not Connected"/>
    <s v="No"/>
    <x v="0"/>
    <x v="2"/>
    <m/>
    <x v="1"/>
  </r>
  <r>
    <x v="424"/>
    <d v="2026-04-06T22:04:41"/>
    <x v="4"/>
    <x v="2"/>
    <x v="0"/>
    <n v="5034523"/>
    <x v="1"/>
    <s v="Not Connected"/>
    <s v="No"/>
    <x v="0"/>
    <x v="2"/>
    <m/>
    <x v="0"/>
  </r>
  <r>
    <x v="425"/>
    <d v="2026-04-07T03:30:27"/>
    <x v="5"/>
    <x v="2"/>
    <x v="1"/>
    <n v="4191059"/>
    <x v="2"/>
    <s v="Not Connected"/>
    <s v="No"/>
    <x v="0"/>
    <x v="2"/>
    <m/>
    <x v="1"/>
  </r>
  <r>
    <x v="426"/>
    <d v="2026-04-07T08:56:13"/>
    <x v="5"/>
    <x v="0"/>
    <x v="0"/>
    <n v="4049627"/>
    <x v="2"/>
    <s v="Not Connected"/>
    <s v="Yes"/>
    <x v="0"/>
    <x v="0"/>
    <m/>
    <x v="1"/>
  </r>
  <r>
    <x v="427"/>
    <d v="2026-04-07T14:21:59"/>
    <x v="2"/>
    <x v="2"/>
    <x v="1"/>
    <n v="4649783"/>
    <x v="0"/>
    <s v="Connected"/>
    <s v="Yes"/>
    <x v="0"/>
    <x v="0"/>
    <m/>
    <x v="1"/>
  </r>
  <r>
    <x v="428"/>
    <d v="2026-04-07T19:47:45"/>
    <x v="0"/>
    <x v="3"/>
    <x v="0"/>
    <n v="5777508"/>
    <x v="1"/>
    <s v="Connected"/>
    <s v="Yes"/>
    <x v="1"/>
    <x v="0"/>
    <m/>
    <x v="0"/>
  </r>
  <r>
    <x v="429"/>
    <d v="2026-04-08T01:13:31"/>
    <x v="4"/>
    <x v="2"/>
    <x v="1"/>
    <n v="2931728"/>
    <x v="0"/>
    <s v="Connected"/>
    <s v="Yes"/>
    <x v="0"/>
    <x v="0"/>
    <m/>
    <x v="2"/>
  </r>
  <r>
    <x v="430"/>
    <d v="2026-04-08T06:39:17"/>
    <x v="4"/>
    <x v="1"/>
    <x v="2"/>
    <n v="8017337"/>
    <x v="5"/>
    <s v="Unknown"/>
    <s v="Yes"/>
    <x v="0"/>
    <x v="0"/>
    <m/>
    <x v="3"/>
  </r>
  <r>
    <x v="431"/>
    <d v="2026-04-08T12:05:03"/>
    <x v="2"/>
    <x v="1"/>
    <x v="1"/>
    <n v="4629754"/>
    <x v="5"/>
    <s v="Not Connected"/>
    <s v="Yes"/>
    <x v="0"/>
    <x v="0"/>
    <m/>
    <x v="1"/>
  </r>
  <r>
    <x v="432"/>
    <d v="2026-04-08T17:30:49"/>
    <x v="3"/>
    <x v="1"/>
    <x v="1"/>
    <n v="3822377"/>
    <x v="4"/>
    <s v="Connected"/>
    <s v="Yes"/>
    <x v="1"/>
    <x v="0"/>
    <m/>
    <x v="1"/>
  </r>
  <r>
    <x v="433"/>
    <d v="2026-04-08T22:56:35"/>
    <x v="4"/>
    <x v="3"/>
    <x v="0"/>
    <n v="3420539"/>
    <x v="5"/>
    <s v="Not Connected"/>
    <s v="No"/>
    <x v="0"/>
    <x v="2"/>
    <m/>
    <x v="1"/>
  </r>
  <r>
    <x v="434"/>
    <d v="2026-04-09T04:22:21"/>
    <x v="4"/>
    <x v="0"/>
    <x v="1"/>
    <n v="6529018"/>
    <x v="1"/>
    <s v="Connected"/>
    <s v="No"/>
    <x v="1"/>
    <x v="1"/>
    <n v="6450000"/>
    <x v="0"/>
  </r>
  <r>
    <x v="435"/>
    <d v="2026-04-09T09:48:06"/>
    <x v="3"/>
    <x v="0"/>
    <x v="0"/>
    <n v="3710381"/>
    <x v="4"/>
    <s v="Connected"/>
    <s v="Yes"/>
    <x v="0"/>
    <x v="0"/>
    <m/>
    <x v="1"/>
  </r>
  <r>
    <x v="436"/>
    <d v="2026-04-09T15:13:52"/>
    <x v="4"/>
    <x v="5"/>
    <x v="0"/>
    <n v="4315712"/>
    <x v="1"/>
    <s v="Connected"/>
    <s v="No"/>
    <x v="0"/>
    <x v="2"/>
    <m/>
    <x v="1"/>
  </r>
  <r>
    <x v="437"/>
    <d v="2026-04-09T20:39:38"/>
    <x v="2"/>
    <x v="3"/>
    <x v="0"/>
    <n v="3425767"/>
    <x v="5"/>
    <s v="Not Connected"/>
    <s v="No"/>
    <x v="0"/>
    <x v="2"/>
    <m/>
    <x v="1"/>
  </r>
  <r>
    <x v="438"/>
    <d v="2026-04-10T02:05:24"/>
    <x v="3"/>
    <x v="0"/>
    <x v="0"/>
    <n v="5299688"/>
    <x v="1"/>
    <s v="Not Connected"/>
    <s v="No"/>
    <x v="0"/>
    <x v="2"/>
    <m/>
    <x v="0"/>
  </r>
  <r>
    <x v="439"/>
    <d v="2026-04-10T07:31:10"/>
    <x v="4"/>
    <x v="3"/>
    <x v="0"/>
    <n v="7568966"/>
    <x v="1"/>
    <s v="Connected"/>
    <s v="No"/>
    <x v="1"/>
    <x v="2"/>
    <m/>
    <x v="0"/>
  </r>
  <r>
    <x v="440"/>
    <d v="2026-04-10T12:56:56"/>
    <x v="4"/>
    <x v="2"/>
    <x v="2"/>
    <n v="8420872"/>
    <x v="1"/>
    <s v="Connected"/>
    <s v="Yes"/>
    <x v="0"/>
    <x v="0"/>
    <m/>
    <x v="3"/>
  </r>
  <r>
    <x v="441"/>
    <d v="2026-04-10T18:22:42"/>
    <x v="1"/>
    <x v="0"/>
    <x v="0"/>
    <n v="3737463"/>
    <x v="2"/>
    <s v="Connected"/>
    <s v="Yes"/>
    <x v="0"/>
    <x v="0"/>
    <m/>
    <x v="1"/>
  </r>
  <r>
    <x v="442"/>
    <d v="2026-04-10T23:48:28"/>
    <x v="0"/>
    <x v="3"/>
    <x v="2"/>
    <n v="8850680"/>
    <x v="2"/>
    <s v="Connected"/>
    <s v="Yes"/>
    <x v="0"/>
    <x v="1"/>
    <n v="9250000"/>
    <x v="3"/>
  </r>
  <r>
    <x v="443"/>
    <d v="2026-04-11T05:14:14"/>
    <x v="0"/>
    <x v="1"/>
    <x v="1"/>
    <n v="1707596"/>
    <x v="1"/>
    <s v="Connected"/>
    <s v="Yes"/>
    <x v="0"/>
    <x v="0"/>
    <m/>
    <x v="2"/>
  </r>
  <r>
    <x v="444"/>
    <d v="2026-04-11T10:40:00"/>
    <x v="2"/>
    <x v="2"/>
    <x v="0"/>
    <n v="3228129"/>
    <x v="2"/>
    <s v="Connected"/>
    <s v="Yes"/>
    <x v="0"/>
    <x v="0"/>
    <m/>
    <x v="1"/>
  </r>
  <r>
    <x v="445"/>
    <d v="2026-04-11T16:05:46"/>
    <x v="1"/>
    <x v="0"/>
    <x v="0"/>
    <n v="3617367"/>
    <x v="5"/>
    <s v="Connected"/>
    <s v="Yes"/>
    <x v="1"/>
    <x v="0"/>
    <m/>
    <x v="1"/>
  </r>
  <r>
    <x v="446"/>
    <d v="2026-04-11T21:31:32"/>
    <x v="1"/>
    <x v="3"/>
    <x v="0"/>
    <n v="5756426"/>
    <x v="1"/>
    <s v="Connected"/>
    <s v="Yes"/>
    <x v="0"/>
    <x v="0"/>
    <m/>
    <x v="0"/>
  </r>
  <r>
    <x v="447"/>
    <d v="2026-04-12T02:57:18"/>
    <x v="2"/>
    <x v="4"/>
    <x v="0"/>
    <n v="6738484"/>
    <x v="2"/>
    <s v="Connected"/>
    <s v="Yes"/>
    <x v="0"/>
    <x v="1"/>
    <n v="6700000"/>
    <x v="0"/>
  </r>
  <r>
    <x v="448"/>
    <d v="2026-04-12T08:23:04"/>
    <x v="0"/>
    <x v="2"/>
    <x v="0"/>
    <n v="5592618"/>
    <x v="1"/>
    <s v="Not Connected"/>
    <s v="No"/>
    <x v="0"/>
    <x v="2"/>
    <m/>
    <x v="0"/>
  </r>
  <r>
    <x v="449"/>
    <d v="2026-04-12T13:48:50"/>
    <x v="4"/>
    <x v="3"/>
    <x v="0"/>
    <n v="4380503"/>
    <x v="3"/>
    <s v="Connected"/>
    <s v="Yes"/>
    <x v="0"/>
    <x v="1"/>
    <n v="4050000"/>
    <x v="1"/>
  </r>
  <r>
    <x v="450"/>
    <d v="2026-04-12T19:14:36"/>
    <x v="2"/>
    <x v="1"/>
    <x v="0"/>
    <n v="5411290"/>
    <x v="1"/>
    <s v="Connected"/>
    <s v="Yes"/>
    <x v="1"/>
    <x v="1"/>
    <n v="5400000"/>
    <x v="0"/>
  </r>
  <r>
    <x v="451"/>
    <d v="2026-04-13T00:40:22"/>
    <x v="5"/>
    <x v="3"/>
    <x v="1"/>
    <n v="5113777"/>
    <x v="2"/>
    <s v="Connected"/>
    <s v="No"/>
    <x v="0"/>
    <x v="2"/>
    <m/>
    <x v="0"/>
  </r>
  <r>
    <x v="452"/>
    <d v="2026-04-13T06:06:08"/>
    <x v="5"/>
    <x v="2"/>
    <x v="2"/>
    <n v="8290123"/>
    <x v="1"/>
    <s v="Connected"/>
    <s v="Yes"/>
    <x v="1"/>
    <x v="1"/>
    <n v="7800000"/>
    <x v="3"/>
  </r>
  <r>
    <x v="453"/>
    <d v="2026-04-13T11:31:54"/>
    <x v="1"/>
    <x v="1"/>
    <x v="0"/>
    <n v="8367308"/>
    <x v="1"/>
    <s v="Connected"/>
    <s v="No"/>
    <x v="1"/>
    <x v="1"/>
    <n v="8550000"/>
    <x v="3"/>
  </r>
  <r>
    <x v="454"/>
    <d v="2026-04-13T16:57:39"/>
    <x v="4"/>
    <x v="0"/>
    <x v="2"/>
    <n v="6268449"/>
    <x v="1"/>
    <s v="Not Connected"/>
    <s v="No"/>
    <x v="0"/>
    <x v="2"/>
    <m/>
    <x v="0"/>
  </r>
  <r>
    <x v="455"/>
    <d v="2026-04-13T22:23:25"/>
    <x v="5"/>
    <x v="2"/>
    <x v="0"/>
    <n v="7888978"/>
    <x v="2"/>
    <s v="Not Connected"/>
    <s v="Yes"/>
    <x v="0"/>
    <x v="0"/>
    <m/>
    <x v="0"/>
  </r>
  <r>
    <x v="456"/>
    <d v="2026-04-14T03:49:11"/>
    <x v="4"/>
    <x v="3"/>
    <x v="0"/>
    <n v="7146276"/>
    <x v="4"/>
    <s v="Not Connected"/>
    <s v="Yes"/>
    <x v="0"/>
    <x v="0"/>
    <m/>
    <x v="0"/>
  </r>
  <r>
    <x v="457"/>
    <d v="2026-04-14T09:14:57"/>
    <x v="5"/>
    <x v="3"/>
    <x v="2"/>
    <n v="6639104"/>
    <x v="0"/>
    <s v="Connected"/>
    <s v="Yes"/>
    <x v="1"/>
    <x v="1"/>
    <n v="6850000"/>
    <x v="0"/>
  </r>
  <r>
    <x v="458"/>
    <d v="2026-04-14T14:40:43"/>
    <x v="4"/>
    <x v="0"/>
    <x v="0"/>
    <n v="3943681"/>
    <x v="1"/>
    <s v="Connected"/>
    <s v="No"/>
    <x v="0"/>
    <x v="2"/>
    <m/>
    <x v="1"/>
  </r>
  <r>
    <x v="459"/>
    <d v="2026-04-14T20:06:29"/>
    <x v="4"/>
    <x v="3"/>
    <x v="0"/>
    <n v="4334649"/>
    <x v="5"/>
    <s v="Not Connected"/>
    <s v="No"/>
    <x v="0"/>
    <x v="2"/>
    <m/>
    <x v="1"/>
  </r>
  <r>
    <x v="460"/>
    <d v="2026-04-15T01:32:15"/>
    <x v="4"/>
    <x v="5"/>
    <x v="1"/>
    <n v="4471316"/>
    <x v="1"/>
    <s v="Connected"/>
    <s v="Yes"/>
    <x v="0"/>
    <x v="0"/>
    <m/>
    <x v="1"/>
  </r>
  <r>
    <x v="461"/>
    <d v="2026-04-15T06:58:01"/>
    <x v="3"/>
    <x v="3"/>
    <x v="1"/>
    <n v="4126102"/>
    <x v="4"/>
    <s v="Connected"/>
    <s v="No"/>
    <x v="0"/>
    <x v="2"/>
    <m/>
    <x v="1"/>
  </r>
  <r>
    <x v="462"/>
    <d v="2026-04-15T12:23:47"/>
    <x v="2"/>
    <x v="0"/>
    <x v="2"/>
    <n v="8000892"/>
    <x v="0"/>
    <s v="Connected"/>
    <s v="Yes"/>
    <x v="0"/>
    <x v="0"/>
    <m/>
    <x v="3"/>
  </r>
  <r>
    <x v="463"/>
    <d v="2026-04-15T17:49:33"/>
    <x v="3"/>
    <x v="3"/>
    <x v="2"/>
    <n v="10701341"/>
    <x v="1"/>
    <s v="Connected"/>
    <s v="No"/>
    <x v="1"/>
    <x v="2"/>
    <m/>
    <x v="3"/>
  </r>
  <r>
    <x v="464"/>
    <d v="2026-04-15T23:15:19"/>
    <x v="1"/>
    <x v="2"/>
    <x v="2"/>
    <n v="9090074"/>
    <x v="4"/>
    <s v="Connected"/>
    <s v="No"/>
    <x v="1"/>
    <x v="1"/>
    <n v="8950000"/>
    <x v="3"/>
  </r>
  <r>
    <x v="465"/>
    <d v="2026-04-16T04:41:05"/>
    <x v="0"/>
    <x v="0"/>
    <x v="0"/>
    <n v="4074477"/>
    <x v="1"/>
    <s v="Connected"/>
    <s v="Yes"/>
    <x v="1"/>
    <x v="1"/>
    <n v="4150000"/>
    <x v="1"/>
  </r>
  <r>
    <x v="466"/>
    <d v="2026-04-16T10:06:51"/>
    <x v="0"/>
    <x v="2"/>
    <x v="0"/>
    <n v="4967928"/>
    <x v="4"/>
    <s v="Connected"/>
    <s v="Yes"/>
    <x v="1"/>
    <x v="0"/>
    <m/>
    <x v="1"/>
  </r>
  <r>
    <x v="467"/>
    <d v="2026-04-16T15:32:37"/>
    <x v="2"/>
    <x v="5"/>
    <x v="0"/>
    <n v="4326980"/>
    <x v="0"/>
    <s v="Connected"/>
    <s v="Yes"/>
    <x v="0"/>
    <x v="0"/>
    <m/>
    <x v="1"/>
  </r>
  <r>
    <x v="468"/>
    <d v="2026-04-16T20:58:23"/>
    <x v="0"/>
    <x v="2"/>
    <x v="0"/>
    <n v="4405802"/>
    <x v="5"/>
    <s v="Connected"/>
    <s v="Yes"/>
    <x v="0"/>
    <x v="0"/>
    <m/>
    <x v="1"/>
  </r>
  <r>
    <x v="469"/>
    <d v="2026-04-17T02:24:09"/>
    <x v="1"/>
    <x v="4"/>
    <x v="0"/>
    <n v="3386350"/>
    <x v="1"/>
    <s v="Connected"/>
    <s v="Yes"/>
    <x v="1"/>
    <x v="0"/>
    <m/>
    <x v="1"/>
  </r>
  <r>
    <x v="470"/>
    <d v="2026-04-17T07:49:55"/>
    <x v="4"/>
    <x v="1"/>
    <x v="0"/>
    <n v="3774107"/>
    <x v="3"/>
    <s v="Connected"/>
    <s v="No"/>
    <x v="0"/>
    <x v="2"/>
    <m/>
    <x v="1"/>
  </r>
  <r>
    <x v="471"/>
    <d v="2026-04-17T13:15:41"/>
    <x v="1"/>
    <x v="3"/>
    <x v="1"/>
    <n v="7929512"/>
    <x v="0"/>
    <s v="Connected"/>
    <s v="No"/>
    <x v="0"/>
    <x v="2"/>
    <m/>
    <x v="0"/>
  </r>
  <r>
    <x v="472"/>
    <d v="2026-04-17T18:41:26"/>
    <x v="4"/>
    <x v="2"/>
    <x v="1"/>
    <n v="4877955"/>
    <x v="4"/>
    <s v="Connected"/>
    <s v="Yes"/>
    <x v="0"/>
    <x v="0"/>
    <m/>
    <x v="1"/>
  </r>
  <r>
    <x v="473"/>
    <d v="2026-04-18T00:07:12"/>
    <x v="2"/>
    <x v="5"/>
    <x v="2"/>
    <n v="6141449"/>
    <x v="4"/>
    <s v="Connected"/>
    <s v="Yes"/>
    <x v="0"/>
    <x v="0"/>
    <m/>
    <x v="0"/>
  </r>
  <r>
    <x v="474"/>
    <d v="2026-04-18T05:32:58"/>
    <x v="5"/>
    <x v="5"/>
    <x v="0"/>
    <n v="3295920"/>
    <x v="1"/>
    <s v="Connected"/>
    <s v="No"/>
    <x v="0"/>
    <x v="2"/>
    <m/>
    <x v="1"/>
  </r>
  <r>
    <x v="475"/>
    <d v="2026-04-18T10:58:44"/>
    <x v="1"/>
    <x v="3"/>
    <x v="1"/>
    <n v="1635370"/>
    <x v="4"/>
    <s v="Connected"/>
    <s v="Yes"/>
    <x v="1"/>
    <x v="0"/>
    <m/>
    <x v="2"/>
  </r>
  <r>
    <x v="476"/>
    <d v="2026-04-18T16:24:30"/>
    <x v="4"/>
    <x v="4"/>
    <x v="0"/>
    <n v="6435365"/>
    <x v="2"/>
    <s v="Not Connected"/>
    <s v="Yes"/>
    <x v="0"/>
    <x v="0"/>
    <m/>
    <x v="0"/>
  </r>
  <r>
    <x v="477"/>
    <d v="2026-04-18T21:50:16"/>
    <x v="5"/>
    <x v="4"/>
    <x v="2"/>
    <n v="8000564"/>
    <x v="4"/>
    <s v="Connected"/>
    <s v="Yes"/>
    <x v="0"/>
    <x v="0"/>
    <m/>
    <x v="3"/>
  </r>
  <r>
    <x v="478"/>
    <d v="2026-04-19T03:16:02"/>
    <x v="1"/>
    <x v="4"/>
    <x v="0"/>
    <n v="4743768"/>
    <x v="1"/>
    <s v="Connected"/>
    <s v="Yes"/>
    <x v="1"/>
    <x v="0"/>
    <m/>
    <x v="1"/>
  </r>
  <r>
    <x v="479"/>
    <d v="2026-04-19T08:41:48"/>
    <x v="5"/>
    <x v="5"/>
    <x v="2"/>
    <n v="6504677"/>
    <x v="5"/>
    <s v="Connected"/>
    <s v="Yes"/>
    <x v="0"/>
    <x v="0"/>
    <m/>
    <x v="0"/>
  </r>
  <r>
    <x v="480"/>
    <d v="2026-04-19T14:07:34"/>
    <x v="3"/>
    <x v="4"/>
    <x v="0"/>
    <n v="4458760"/>
    <x v="1"/>
    <s v="Not Connected"/>
    <s v="No"/>
    <x v="0"/>
    <x v="2"/>
    <m/>
    <x v="1"/>
  </r>
  <r>
    <x v="481"/>
    <d v="2026-04-19T19:33:20"/>
    <x v="3"/>
    <x v="0"/>
    <x v="1"/>
    <n v="6275394"/>
    <x v="5"/>
    <s v="Connected"/>
    <s v="Yes"/>
    <x v="1"/>
    <x v="1"/>
    <n v="5900000"/>
    <x v="0"/>
  </r>
  <r>
    <x v="482"/>
    <d v="2026-04-20T00:59:06"/>
    <x v="5"/>
    <x v="1"/>
    <x v="1"/>
    <n v="3931516"/>
    <x v="5"/>
    <s v="Connected"/>
    <s v="No"/>
    <x v="0"/>
    <x v="2"/>
    <m/>
    <x v="1"/>
  </r>
  <r>
    <x v="483"/>
    <d v="2026-04-20T06:24:52"/>
    <x v="3"/>
    <x v="0"/>
    <x v="0"/>
    <n v="5292331"/>
    <x v="1"/>
    <s v="Connected"/>
    <s v="Yes"/>
    <x v="1"/>
    <x v="0"/>
    <m/>
    <x v="0"/>
  </r>
  <r>
    <x v="484"/>
    <d v="2026-04-20T11:50:38"/>
    <x v="3"/>
    <x v="5"/>
    <x v="0"/>
    <n v="5520748"/>
    <x v="5"/>
    <s v="Connected"/>
    <s v="No"/>
    <x v="0"/>
    <x v="2"/>
    <m/>
    <x v="0"/>
  </r>
  <r>
    <x v="485"/>
    <d v="2026-04-20T17:16:24"/>
    <x v="1"/>
    <x v="5"/>
    <x v="1"/>
    <n v="6845965"/>
    <x v="5"/>
    <s v="Not Connected"/>
    <s v="Yes"/>
    <x v="0"/>
    <x v="1"/>
    <n v="6750000"/>
    <x v="0"/>
  </r>
  <r>
    <x v="486"/>
    <d v="2026-04-20T22:42:10"/>
    <x v="4"/>
    <x v="5"/>
    <x v="0"/>
    <n v="6472159"/>
    <x v="4"/>
    <s v="Not Connected"/>
    <s v="Yes"/>
    <x v="0"/>
    <x v="0"/>
    <m/>
    <x v="0"/>
  </r>
  <r>
    <x v="487"/>
    <d v="2026-04-21T04:07:56"/>
    <x v="0"/>
    <x v="3"/>
    <x v="1"/>
    <n v="3646013"/>
    <x v="5"/>
    <s v="Connected"/>
    <s v="No"/>
    <x v="0"/>
    <x v="2"/>
    <m/>
    <x v="1"/>
  </r>
  <r>
    <x v="488"/>
    <d v="2026-04-21T09:33:42"/>
    <x v="1"/>
    <x v="5"/>
    <x v="2"/>
    <n v="9224858"/>
    <x v="5"/>
    <s v="Not Connected"/>
    <s v="Yes"/>
    <x v="0"/>
    <x v="0"/>
    <m/>
    <x v="3"/>
  </r>
  <r>
    <x v="489"/>
    <d v="2026-04-21T14:59:28"/>
    <x v="2"/>
    <x v="1"/>
    <x v="0"/>
    <n v="4672647"/>
    <x v="1"/>
    <s v="Connected"/>
    <s v="Yes"/>
    <x v="0"/>
    <x v="1"/>
    <n v="4550000"/>
    <x v="1"/>
  </r>
  <r>
    <x v="490"/>
    <d v="2026-04-21T20:25:14"/>
    <x v="5"/>
    <x v="0"/>
    <x v="0"/>
    <n v="8947317"/>
    <x v="5"/>
    <s v="Connected"/>
    <s v="Yes"/>
    <x v="0"/>
    <x v="0"/>
    <m/>
    <x v="3"/>
  </r>
  <r>
    <x v="491"/>
    <d v="2026-04-22T01:50:59"/>
    <x v="3"/>
    <x v="5"/>
    <x v="0"/>
    <n v="4143457"/>
    <x v="4"/>
    <s v="Connected"/>
    <s v="No"/>
    <x v="0"/>
    <x v="2"/>
    <m/>
    <x v="1"/>
  </r>
  <r>
    <x v="492"/>
    <d v="2026-04-22T07:16:45"/>
    <x v="0"/>
    <x v="0"/>
    <x v="2"/>
    <n v="6132659"/>
    <x v="5"/>
    <s v="Connected"/>
    <s v="No"/>
    <x v="0"/>
    <x v="2"/>
    <m/>
    <x v="0"/>
  </r>
  <r>
    <x v="493"/>
    <d v="2026-04-22T12:42:31"/>
    <x v="4"/>
    <x v="0"/>
    <x v="0"/>
    <n v="3639872"/>
    <x v="2"/>
    <s v="Not Connected"/>
    <s v="No"/>
    <x v="0"/>
    <x v="2"/>
    <m/>
    <x v="1"/>
  </r>
  <r>
    <x v="494"/>
    <d v="2026-04-22T18:08:17"/>
    <x v="5"/>
    <x v="3"/>
    <x v="0"/>
    <n v="6421576"/>
    <x v="0"/>
    <s v="Connected"/>
    <s v="Yes"/>
    <x v="0"/>
    <x v="0"/>
    <m/>
    <x v="0"/>
  </r>
  <r>
    <x v="495"/>
    <d v="2026-04-22T23:34:03"/>
    <x v="0"/>
    <x v="3"/>
    <x v="0"/>
    <n v="7436321"/>
    <x v="2"/>
    <s v="Connected"/>
    <s v="No"/>
    <x v="0"/>
    <x v="2"/>
    <m/>
    <x v="0"/>
  </r>
  <r>
    <x v="496"/>
    <d v="2026-04-23T04:59:49"/>
    <x v="3"/>
    <x v="3"/>
    <x v="2"/>
    <n v="8075838"/>
    <x v="4"/>
    <s v="Connected"/>
    <s v="Yes"/>
    <x v="0"/>
    <x v="0"/>
    <m/>
    <x v="3"/>
  </r>
  <r>
    <x v="497"/>
    <d v="2026-04-23T10:25:35"/>
    <x v="4"/>
    <x v="1"/>
    <x v="1"/>
    <n v="4213866"/>
    <x v="0"/>
    <s v="Connected"/>
    <s v="No"/>
    <x v="0"/>
    <x v="2"/>
    <m/>
    <x v="1"/>
  </r>
  <r>
    <x v="498"/>
    <d v="2026-04-23T15:51:21"/>
    <x v="1"/>
    <x v="5"/>
    <x v="1"/>
    <n v="4647825"/>
    <x v="4"/>
    <s v="Connected"/>
    <s v="Yes"/>
    <x v="1"/>
    <x v="0"/>
    <m/>
    <x v="1"/>
  </r>
  <r>
    <x v="499"/>
    <d v="2026-04-23T21:17:07"/>
    <x v="1"/>
    <x v="2"/>
    <x v="0"/>
    <n v="4001452"/>
    <x v="5"/>
    <s v="Connected"/>
    <s v="No"/>
    <x v="0"/>
    <x v="2"/>
    <m/>
    <x v="1"/>
  </r>
  <r>
    <x v="500"/>
    <d v="2026-04-24T02:42:53"/>
    <x v="3"/>
    <x v="1"/>
    <x v="1"/>
    <n v="3432830"/>
    <x v="1"/>
    <s v="Not Connected"/>
    <s v="No"/>
    <x v="0"/>
    <x v="2"/>
    <m/>
    <x v="1"/>
  </r>
  <r>
    <x v="501"/>
    <d v="2026-04-24T08:08:39"/>
    <x v="5"/>
    <x v="1"/>
    <x v="2"/>
    <n v="8734001"/>
    <x v="0"/>
    <s v="Connected"/>
    <s v="No"/>
    <x v="0"/>
    <x v="2"/>
    <m/>
    <x v="3"/>
  </r>
  <r>
    <x v="502"/>
    <d v="2026-04-24T13:34:25"/>
    <x v="0"/>
    <x v="0"/>
    <x v="2"/>
    <n v="11774381"/>
    <x v="1"/>
    <s v="Connected"/>
    <s v="Yes"/>
    <x v="0"/>
    <x v="0"/>
    <m/>
    <x v="3"/>
  </r>
  <r>
    <x v="503"/>
    <d v="2026-04-24T19:00:11"/>
    <x v="2"/>
    <x v="5"/>
    <x v="1"/>
    <n v="2352557"/>
    <x v="5"/>
    <s v="Not Connected"/>
    <s v="No"/>
    <x v="0"/>
    <x v="2"/>
    <m/>
    <x v="2"/>
  </r>
  <r>
    <x v="504"/>
    <d v="2026-04-25T00:25:57"/>
    <x v="3"/>
    <x v="5"/>
    <x v="0"/>
    <n v="7610179"/>
    <x v="2"/>
    <s v="Connected"/>
    <s v="Yes"/>
    <x v="1"/>
    <x v="0"/>
    <m/>
    <x v="0"/>
  </r>
  <r>
    <x v="505"/>
    <d v="2026-04-25T05:51:43"/>
    <x v="4"/>
    <x v="5"/>
    <x v="0"/>
    <n v="3566510"/>
    <x v="2"/>
    <s v="Connected"/>
    <s v="Yes"/>
    <x v="1"/>
    <x v="1"/>
    <n v="3550000"/>
    <x v="1"/>
  </r>
  <r>
    <x v="506"/>
    <d v="2026-04-25T11:17:29"/>
    <x v="1"/>
    <x v="1"/>
    <x v="1"/>
    <n v="2790894"/>
    <x v="5"/>
    <s v="Not Connected"/>
    <s v="No"/>
    <x v="0"/>
    <x v="2"/>
    <m/>
    <x v="2"/>
  </r>
  <r>
    <x v="507"/>
    <d v="2026-04-25T16:43:15"/>
    <x v="2"/>
    <x v="1"/>
    <x v="0"/>
    <n v="5933371"/>
    <x v="4"/>
    <s v="Connected"/>
    <s v="Yes"/>
    <x v="1"/>
    <x v="0"/>
    <m/>
    <x v="0"/>
  </r>
  <r>
    <x v="508"/>
    <d v="2026-04-25T22:09:01"/>
    <x v="1"/>
    <x v="3"/>
    <x v="1"/>
    <n v="4575327"/>
    <x v="5"/>
    <s v="Connected"/>
    <s v="No"/>
    <x v="0"/>
    <x v="2"/>
    <m/>
    <x v="1"/>
  </r>
  <r>
    <x v="509"/>
    <d v="2026-04-26T03:34:46"/>
    <x v="3"/>
    <x v="4"/>
    <x v="1"/>
    <n v="2164635"/>
    <x v="2"/>
    <s v="Connected"/>
    <s v="Yes"/>
    <x v="1"/>
    <x v="0"/>
    <m/>
    <x v="2"/>
  </r>
  <r>
    <x v="510"/>
    <d v="2026-04-26T09:00:32"/>
    <x v="3"/>
    <x v="4"/>
    <x v="0"/>
    <n v="3668629"/>
    <x v="1"/>
    <s v="Not Connected"/>
    <s v="No"/>
    <x v="0"/>
    <x v="2"/>
    <m/>
    <x v="1"/>
  </r>
  <r>
    <x v="511"/>
    <d v="2026-04-26T14:26:18"/>
    <x v="5"/>
    <x v="3"/>
    <x v="1"/>
    <n v="2883640"/>
    <x v="1"/>
    <s v="Connected"/>
    <s v="Yes"/>
    <x v="0"/>
    <x v="0"/>
    <m/>
    <x v="2"/>
  </r>
  <r>
    <x v="512"/>
    <d v="2026-04-26T19:52:04"/>
    <x v="1"/>
    <x v="2"/>
    <x v="0"/>
    <n v="4917583"/>
    <x v="2"/>
    <s v="Connected"/>
    <s v="Yes"/>
    <x v="1"/>
    <x v="1"/>
    <n v="4550000"/>
    <x v="1"/>
  </r>
  <r>
    <x v="513"/>
    <d v="2026-04-27T01:17:50"/>
    <x v="2"/>
    <x v="0"/>
    <x v="0"/>
    <n v="4642868"/>
    <x v="1"/>
    <s v="Connected"/>
    <s v="Yes"/>
    <x v="0"/>
    <x v="0"/>
    <m/>
    <x v="1"/>
  </r>
  <r>
    <x v="514"/>
    <d v="2026-04-27T06:43:36"/>
    <x v="4"/>
    <x v="0"/>
    <x v="2"/>
    <n v="6685503"/>
    <x v="4"/>
    <s v="Connected"/>
    <s v="Yes"/>
    <x v="0"/>
    <x v="0"/>
    <m/>
    <x v="0"/>
  </r>
  <r>
    <x v="515"/>
    <d v="2026-04-27T12:09:22"/>
    <x v="4"/>
    <x v="0"/>
    <x v="1"/>
    <n v="3337284"/>
    <x v="1"/>
    <s v="Connected"/>
    <s v="No"/>
    <x v="0"/>
    <x v="2"/>
    <m/>
    <x v="1"/>
  </r>
  <r>
    <x v="516"/>
    <d v="2026-04-27T17:35:08"/>
    <x v="0"/>
    <x v="3"/>
    <x v="0"/>
    <n v="6208558"/>
    <x v="1"/>
    <s v="Connected"/>
    <s v="Yes"/>
    <x v="1"/>
    <x v="0"/>
    <m/>
    <x v="0"/>
  </r>
  <r>
    <x v="517"/>
    <d v="2026-04-27T23:00:54"/>
    <x v="2"/>
    <x v="2"/>
    <x v="0"/>
    <n v="6002087"/>
    <x v="4"/>
    <s v="Connected"/>
    <s v="Yes"/>
    <x v="0"/>
    <x v="0"/>
    <m/>
    <x v="0"/>
  </r>
  <r>
    <x v="518"/>
    <d v="2026-04-28T04:26:40"/>
    <x v="1"/>
    <x v="0"/>
    <x v="2"/>
    <n v="6633718"/>
    <x v="5"/>
    <s v="Not Connected"/>
    <s v="No"/>
    <x v="0"/>
    <x v="2"/>
    <m/>
    <x v="0"/>
  </r>
  <r>
    <x v="519"/>
    <d v="2026-04-28T09:52:26"/>
    <x v="4"/>
    <x v="2"/>
    <x v="2"/>
    <n v="9078111"/>
    <x v="1"/>
    <s v="Not Connected"/>
    <s v="Yes"/>
    <x v="0"/>
    <x v="0"/>
    <m/>
    <x v="3"/>
  </r>
  <r>
    <x v="520"/>
    <d v="2026-04-28T15:18:12"/>
    <x v="3"/>
    <x v="0"/>
    <x v="2"/>
    <n v="14710865"/>
    <x v="5"/>
    <s v="Not Connected"/>
    <s v="No"/>
    <x v="0"/>
    <x v="2"/>
    <m/>
    <x v="4"/>
  </r>
  <r>
    <x v="521"/>
    <d v="2026-04-28T20:43:58"/>
    <x v="0"/>
    <x v="2"/>
    <x v="0"/>
    <n v="4649396"/>
    <x v="4"/>
    <s v="Connected"/>
    <s v="No"/>
    <x v="0"/>
    <x v="2"/>
    <m/>
    <x v="1"/>
  </r>
  <r>
    <x v="522"/>
    <d v="2026-04-29T02:09:44"/>
    <x v="1"/>
    <x v="5"/>
    <x v="0"/>
    <n v="6113728"/>
    <x v="0"/>
    <s v="Not Connected"/>
    <s v="No"/>
    <x v="0"/>
    <x v="2"/>
    <m/>
    <x v="0"/>
  </r>
  <r>
    <x v="523"/>
    <d v="2026-04-29T07:35:30"/>
    <x v="2"/>
    <x v="0"/>
    <x v="0"/>
    <n v="7435784"/>
    <x v="3"/>
    <s v="Connected"/>
    <s v="No"/>
    <x v="0"/>
    <x v="2"/>
    <m/>
    <x v="0"/>
  </r>
  <r>
    <x v="524"/>
    <d v="2026-04-29T13:01:16"/>
    <x v="2"/>
    <x v="1"/>
    <x v="1"/>
    <n v="2309340"/>
    <x v="1"/>
    <s v="Not Connected"/>
    <s v="No"/>
    <x v="0"/>
    <x v="2"/>
    <m/>
    <x v="2"/>
  </r>
  <r>
    <x v="525"/>
    <d v="2026-04-29T18:27:02"/>
    <x v="5"/>
    <x v="0"/>
    <x v="0"/>
    <n v="4492017"/>
    <x v="1"/>
    <s v="Not Connected"/>
    <s v="No"/>
    <x v="0"/>
    <x v="2"/>
    <m/>
    <x v="1"/>
  </r>
  <r>
    <x v="526"/>
    <d v="2026-04-29T23:52:48"/>
    <x v="5"/>
    <x v="5"/>
    <x v="0"/>
    <n v="3122019"/>
    <x v="1"/>
    <s v="Connected"/>
    <s v="Yes"/>
    <x v="1"/>
    <x v="1"/>
    <n v="3200000"/>
    <x v="1"/>
  </r>
  <r>
    <x v="527"/>
    <d v="2026-04-30T05:18:34"/>
    <x v="0"/>
    <x v="5"/>
    <x v="1"/>
    <n v="1679001"/>
    <x v="2"/>
    <s v="Connected"/>
    <s v="Yes"/>
    <x v="1"/>
    <x v="0"/>
    <m/>
    <x v="2"/>
  </r>
  <r>
    <x v="528"/>
    <d v="2026-04-30T10:44:19"/>
    <x v="4"/>
    <x v="4"/>
    <x v="0"/>
    <n v="5648837"/>
    <x v="5"/>
    <s v="Connected"/>
    <s v="Yes"/>
    <x v="0"/>
    <x v="0"/>
    <m/>
    <x v="0"/>
  </r>
  <r>
    <x v="529"/>
    <d v="2026-04-30T16:10:05"/>
    <x v="2"/>
    <x v="1"/>
    <x v="1"/>
    <n v="2529870"/>
    <x v="3"/>
    <s v="Connected"/>
    <s v="No"/>
    <x v="0"/>
    <x v="2"/>
    <m/>
    <x v="2"/>
  </r>
  <r>
    <x v="530"/>
    <d v="2026-04-30T21:35:51"/>
    <x v="2"/>
    <x v="5"/>
    <x v="2"/>
    <n v="8416826"/>
    <x v="1"/>
    <s v="Connected"/>
    <s v="Yes"/>
    <x v="1"/>
    <x v="0"/>
    <m/>
    <x v="3"/>
  </r>
  <r>
    <x v="531"/>
    <d v="2026-05-01T03:01:37"/>
    <x v="1"/>
    <x v="3"/>
    <x v="1"/>
    <n v="1596143"/>
    <x v="3"/>
    <s v="Connected"/>
    <s v="No"/>
    <x v="0"/>
    <x v="2"/>
    <m/>
    <x v="2"/>
  </r>
  <r>
    <x v="532"/>
    <d v="2026-05-01T08:27:23"/>
    <x v="1"/>
    <x v="3"/>
    <x v="0"/>
    <n v="4020332"/>
    <x v="2"/>
    <s v="Connected"/>
    <s v="No"/>
    <x v="0"/>
    <x v="1"/>
    <n v="3750000"/>
    <x v="1"/>
  </r>
  <r>
    <x v="533"/>
    <d v="2026-05-01T13:53:09"/>
    <x v="5"/>
    <x v="0"/>
    <x v="0"/>
    <n v="3900959"/>
    <x v="2"/>
    <s v="Connected"/>
    <s v="Yes"/>
    <x v="1"/>
    <x v="1"/>
    <n v="3900000"/>
    <x v="1"/>
  </r>
  <r>
    <x v="534"/>
    <d v="2026-05-01T19:18:55"/>
    <x v="2"/>
    <x v="5"/>
    <x v="2"/>
    <n v="13717535"/>
    <x v="1"/>
    <s v="Connected"/>
    <s v="No"/>
    <x v="0"/>
    <x v="2"/>
    <m/>
    <x v="4"/>
  </r>
  <r>
    <x v="535"/>
    <d v="2026-05-02T00:44:41"/>
    <x v="1"/>
    <x v="0"/>
    <x v="1"/>
    <n v="2839527"/>
    <x v="5"/>
    <s v="Connected"/>
    <s v="Yes"/>
    <x v="0"/>
    <x v="0"/>
    <m/>
    <x v="2"/>
  </r>
  <r>
    <x v="536"/>
    <d v="2026-05-02T06:10:27"/>
    <x v="2"/>
    <x v="0"/>
    <x v="2"/>
    <n v="8676299"/>
    <x v="1"/>
    <s v="Not Connected"/>
    <s v="No"/>
    <x v="0"/>
    <x v="2"/>
    <m/>
    <x v="3"/>
  </r>
  <r>
    <x v="537"/>
    <d v="2026-05-02T11:36:13"/>
    <x v="0"/>
    <x v="3"/>
    <x v="0"/>
    <n v="3265702"/>
    <x v="1"/>
    <s v="Connected"/>
    <s v="No"/>
    <x v="0"/>
    <x v="2"/>
    <m/>
    <x v="1"/>
  </r>
  <r>
    <x v="538"/>
    <d v="2026-05-02T17:01:59"/>
    <x v="5"/>
    <x v="0"/>
    <x v="2"/>
    <n v="7888007"/>
    <x v="5"/>
    <s v="Not Connected"/>
    <s v="Yes"/>
    <x v="0"/>
    <x v="0"/>
    <m/>
    <x v="0"/>
  </r>
  <r>
    <x v="539"/>
    <d v="2026-05-02T22:27:45"/>
    <x v="4"/>
    <x v="1"/>
    <x v="2"/>
    <n v="7739122"/>
    <x v="4"/>
    <s v="Connected"/>
    <s v="Yes"/>
    <x v="0"/>
    <x v="0"/>
    <m/>
    <x v="0"/>
  </r>
  <r>
    <x v="540"/>
    <d v="2026-05-03T03:53:31"/>
    <x v="1"/>
    <x v="3"/>
    <x v="2"/>
    <n v="6775292"/>
    <x v="1"/>
    <s v="Connected"/>
    <s v="Yes"/>
    <x v="1"/>
    <x v="1"/>
    <n v="6250000"/>
    <x v="0"/>
  </r>
  <r>
    <x v="541"/>
    <d v="2026-05-03T09:19:17"/>
    <x v="3"/>
    <x v="0"/>
    <x v="2"/>
    <n v="10878526"/>
    <x v="4"/>
    <s v="Not Connected"/>
    <s v="No"/>
    <x v="0"/>
    <x v="2"/>
    <m/>
    <x v="3"/>
  </r>
  <r>
    <x v="542"/>
    <d v="2026-05-03T14:45:03"/>
    <x v="0"/>
    <x v="1"/>
    <x v="1"/>
    <n v="3189074"/>
    <x v="4"/>
    <s v="Connected"/>
    <s v="No"/>
    <x v="1"/>
    <x v="1"/>
    <n v="3300000"/>
    <x v="1"/>
  </r>
  <r>
    <x v="543"/>
    <d v="2026-05-03T20:10:49"/>
    <x v="3"/>
    <x v="0"/>
    <x v="2"/>
    <n v="6219707"/>
    <x v="5"/>
    <s v="Connected"/>
    <s v="Yes"/>
    <x v="1"/>
    <x v="0"/>
    <m/>
    <x v="0"/>
  </r>
  <r>
    <x v="544"/>
    <d v="2026-05-04T01:36:35"/>
    <x v="3"/>
    <x v="2"/>
    <x v="0"/>
    <n v="3171389"/>
    <x v="3"/>
    <s v="Connected"/>
    <s v="Yes"/>
    <x v="1"/>
    <x v="1"/>
    <n v="3000000"/>
    <x v="1"/>
  </r>
  <r>
    <x v="545"/>
    <d v="2026-05-04T07:02:21"/>
    <x v="0"/>
    <x v="1"/>
    <x v="0"/>
    <n v="4059165"/>
    <x v="5"/>
    <s v="Connected"/>
    <s v="Yes"/>
    <x v="0"/>
    <x v="0"/>
    <m/>
    <x v="1"/>
  </r>
  <r>
    <x v="546"/>
    <d v="2026-05-04T12:28:06"/>
    <x v="4"/>
    <x v="4"/>
    <x v="0"/>
    <n v="6336666"/>
    <x v="1"/>
    <s v="Connected"/>
    <s v="Yes"/>
    <x v="1"/>
    <x v="1"/>
    <n v="6250000"/>
    <x v="0"/>
  </r>
  <r>
    <x v="547"/>
    <d v="2026-05-04T17:53:52"/>
    <x v="3"/>
    <x v="1"/>
    <x v="0"/>
    <n v="3825963"/>
    <x v="1"/>
    <s v="Connected"/>
    <s v="Yes"/>
    <x v="0"/>
    <x v="0"/>
    <m/>
    <x v="1"/>
  </r>
  <r>
    <x v="548"/>
    <d v="2026-05-04T23:19:38"/>
    <x v="5"/>
    <x v="0"/>
    <x v="0"/>
    <n v="3093078"/>
    <x v="2"/>
    <s v="Connected"/>
    <s v="Yes"/>
    <x v="1"/>
    <x v="1"/>
    <n v="2950000"/>
    <x v="1"/>
  </r>
  <r>
    <x v="549"/>
    <d v="2026-05-05T04:45:24"/>
    <x v="2"/>
    <x v="3"/>
    <x v="0"/>
    <n v="5259402"/>
    <x v="5"/>
    <s v="Connected"/>
    <s v="Yes"/>
    <x v="1"/>
    <x v="1"/>
    <n v="5350000"/>
    <x v="0"/>
  </r>
  <r>
    <x v="550"/>
    <d v="2026-05-05T10:11:10"/>
    <x v="5"/>
    <x v="2"/>
    <x v="0"/>
    <n v="5074888"/>
    <x v="1"/>
    <s v="Connected"/>
    <s v="Yes"/>
    <x v="0"/>
    <x v="0"/>
    <m/>
    <x v="0"/>
  </r>
  <r>
    <x v="551"/>
    <d v="2026-05-05T15:36:56"/>
    <x v="2"/>
    <x v="3"/>
    <x v="0"/>
    <n v="6470633"/>
    <x v="4"/>
    <s v="Connected"/>
    <s v="No"/>
    <x v="0"/>
    <x v="2"/>
    <m/>
    <x v="0"/>
  </r>
  <r>
    <x v="552"/>
    <d v="2026-05-05T21:02:42"/>
    <x v="5"/>
    <x v="4"/>
    <x v="1"/>
    <n v="2738227"/>
    <x v="5"/>
    <s v="Connected"/>
    <s v="Yes"/>
    <x v="1"/>
    <x v="1"/>
    <n v="2650000"/>
    <x v="2"/>
  </r>
  <r>
    <x v="553"/>
    <d v="2026-05-06T02:28:28"/>
    <x v="5"/>
    <x v="2"/>
    <x v="1"/>
    <n v="1834199"/>
    <x v="4"/>
    <s v="Connected"/>
    <s v="No"/>
    <x v="0"/>
    <x v="2"/>
    <m/>
    <x v="2"/>
  </r>
  <r>
    <x v="554"/>
    <d v="2026-05-06T07:54:14"/>
    <x v="2"/>
    <x v="0"/>
    <x v="0"/>
    <n v="3111426"/>
    <x v="0"/>
    <s v="Not Connected"/>
    <s v="Yes"/>
    <x v="0"/>
    <x v="0"/>
    <m/>
    <x v="1"/>
  </r>
  <r>
    <x v="555"/>
    <d v="2026-05-06T13:20:00"/>
    <x v="5"/>
    <x v="0"/>
    <x v="1"/>
    <n v="4905451"/>
    <x v="3"/>
    <s v="Connected"/>
    <s v="No"/>
    <x v="0"/>
    <x v="2"/>
    <m/>
    <x v="1"/>
  </r>
  <r>
    <x v="556"/>
    <d v="2026-05-06T18:45:46"/>
    <x v="4"/>
    <x v="3"/>
    <x v="0"/>
    <n v="7045727"/>
    <x v="5"/>
    <s v="Connected"/>
    <s v="No"/>
    <x v="1"/>
    <x v="2"/>
    <m/>
    <x v="0"/>
  </r>
  <r>
    <x v="557"/>
    <d v="2026-05-07T00:11:32"/>
    <x v="4"/>
    <x v="5"/>
    <x v="0"/>
    <n v="4475368"/>
    <x v="5"/>
    <s v="Connected"/>
    <s v="Yes"/>
    <x v="0"/>
    <x v="0"/>
    <m/>
    <x v="1"/>
  </r>
  <r>
    <x v="558"/>
    <d v="2026-05-07T05:37:18"/>
    <x v="2"/>
    <x v="4"/>
    <x v="0"/>
    <n v="4108383"/>
    <x v="1"/>
    <s v="Not Connected"/>
    <s v="No"/>
    <x v="0"/>
    <x v="2"/>
    <m/>
    <x v="1"/>
  </r>
  <r>
    <x v="559"/>
    <d v="2026-05-07T11:03:04"/>
    <x v="3"/>
    <x v="2"/>
    <x v="0"/>
    <n v="5592038"/>
    <x v="1"/>
    <s v="Connected"/>
    <s v="Yes"/>
    <x v="1"/>
    <x v="0"/>
    <m/>
    <x v="0"/>
  </r>
  <r>
    <x v="560"/>
    <d v="2026-05-07T16:28:50"/>
    <x v="3"/>
    <x v="5"/>
    <x v="2"/>
    <n v="8442432"/>
    <x v="5"/>
    <s v="Not Connected"/>
    <s v="No"/>
    <x v="0"/>
    <x v="2"/>
    <m/>
    <x v="3"/>
  </r>
  <r>
    <x v="561"/>
    <d v="2026-05-07T21:54:36"/>
    <x v="0"/>
    <x v="0"/>
    <x v="2"/>
    <n v="6407407"/>
    <x v="5"/>
    <s v="Connected"/>
    <s v="No"/>
    <x v="0"/>
    <x v="2"/>
    <m/>
    <x v="0"/>
  </r>
  <r>
    <x v="562"/>
    <d v="2026-05-08T03:20:22"/>
    <x v="4"/>
    <x v="4"/>
    <x v="0"/>
    <n v="5795309"/>
    <x v="3"/>
    <s v="Connected"/>
    <s v="Yes"/>
    <x v="0"/>
    <x v="0"/>
    <m/>
    <x v="0"/>
  </r>
  <r>
    <x v="563"/>
    <d v="2026-05-08T08:46:08"/>
    <x v="4"/>
    <x v="0"/>
    <x v="0"/>
    <n v="8127651"/>
    <x v="0"/>
    <s v="Not Connected"/>
    <s v="No"/>
    <x v="0"/>
    <x v="2"/>
    <m/>
    <x v="3"/>
  </r>
  <r>
    <x v="564"/>
    <d v="2026-05-08T14:11:54"/>
    <x v="0"/>
    <x v="4"/>
    <x v="0"/>
    <n v="7901431"/>
    <x v="5"/>
    <s v="Connected"/>
    <s v="Yes"/>
    <x v="0"/>
    <x v="0"/>
    <m/>
    <x v="0"/>
  </r>
  <r>
    <x v="565"/>
    <d v="2026-05-08T19:37:39"/>
    <x v="3"/>
    <x v="5"/>
    <x v="0"/>
    <n v="5873714"/>
    <x v="1"/>
    <s v="Connected"/>
    <s v="No"/>
    <x v="0"/>
    <x v="2"/>
    <m/>
    <x v="0"/>
  </r>
  <r>
    <x v="566"/>
    <d v="2026-05-09T01:03:25"/>
    <x v="0"/>
    <x v="3"/>
    <x v="0"/>
    <n v="3228584"/>
    <x v="1"/>
    <s v="Not Connected"/>
    <s v="No"/>
    <x v="0"/>
    <x v="2"/>
    <m/>
    <x v="1"/>
  </r>
  <r>
    <x v="567"/>
    <d v="2026-05-09T06:29:11"/>
    <x v="5"/>
    <x v="0"/>
    <x v="0"/>
    <n v="4127113"/>
    <x v="5"/>
    <s v="Not Connected"/>
    <s v="No"/>
    <x v="0"/>
    <x v="2"/>
    <m/>
    <x v="1"/>
  </r>
  <r>
    <x v="568"/>
    <d v="2026-05-09T11:54:57"/>
    <x v="1"/>
    <x v="3"/>
    <x v="1"/>
    <n v="3085167"/>
    <x v="4"/>
    <s v="Connected"/>
    <s v="Yes"/>
    <x v="0"/>
    <x v="0"/>
    <m/>
    <x v="1"/>
  </r>
  <r>
    <x v="569"/>
    <d v="2026-05-09T17:20:43"/>
    <x v="0"/>
    <x v="1"/>
    <x v="1"/>
    <n v="2846419"/>
    <x v="4"/>
    <s v="Connected"/>
    <s v="No"/>
    <x v="0"/>
    <x v="2"/>
    <m/>
    <x v="2"/>
  </r>
  <r>
    <x v="570"/>
    <d v="2026-05-09T22:46:29"/>
    <x v="5"/>
    <x v="1"/>
    <x v="0"/>
    <n v="5364286"/>
    <x v="0"/>
    <s v="Connected"/>
    <s v="Yes"/>
    <x v="1"/>
    <x v="0"/>
    <m/>
    <x v="0"/>
  </r>
  <r>
    <x v="571"/>
    <d v="2026-05-10T04:12:15"/>
    <x v="2"/>
    <x v="0"/>
    <x v="1"/>
    <n v="3559074"/>
    <x v="2"/>
    <s v="Connected"/>
    <s v="No"/>
    <x v="0"/>
    <x v="2"/>
    <m/>
    <x v="1"/>
  </r>
  <r>
    <x v="572"/>
    <d v="2026-05-10T09:38:01"/>
    <x v="0"/>
    <x v="3"/>
    <x v="0"/>
    <n v="3756079"/>
    <x v="4"/>
    <s v="Not Connected"/>
    <s v="No"/>
    <x v="0"/>
    <x v="2"/>
    <m/>
    <x v="1"/>
  </r>
  <r>
    <x v="573"/>
    <d v="2026-05-10T15:03:47"/>
    <x v="3"/>
    <x v="2"/>
    <x v="0"/>
    <n v="4443401"/>
    <x v="4"/>
    <s v="Not Connected"/>
    <s v="No"/>
    <x v="0"/>
    <x v="2"/>
    <m/>
    <x v="1"/>
  </r>
  <r>
    <x v="574"/>
    <d v="2026-05-10T20:29:33"/>
    <x v="2"/>
    <x v="0"/>
    <x v="0"/>
    <n v="7115417"/>
    <x v="1"/>
    <s v="Connected"/>
    <s v="Yes"/>
    <x v="1"/>
    <x v="0"/>
    <m/>
    <x v="0"/>
  </r>
  <r>
    <x v="575"/>
    <d v="2026-05-11T01:55:19"/>
    <x v="1"/>
    <x v="0"/>
    <x v="2"/>
    <n v="11511166"/>
    <x v="4"/>
    <s v="Not Connected"/>
    <s v="No"/>
    <x v="0"/>
    <x v="2"/>
    <m/>
    <x v="3"/>
  </r>
  <r>
    <x v="576"/>
    <d v="2026-05-11T07:21:05"/>
    <x v="4"/>
    <x v="0"/>
    <x v="1"/>
    <n v="2123640"/>
    <x v="1"/>
    <s v="Connected"/>
    <s v="No"/>
    <x v="0"/>
    <x v="2"/>
    <m/>
    <x v="2"/>
  </r>
  <r>
    <x v="577"/>
    <d v="2026-05-11T12:46:51"/>
    <x v="1"/>
    <x v="3"/>
    <x v="2"/>
    <n v="11344720"/>
    <x v="5"/>
    <s v="Connected"/>
    <s v="Yes"/>
    <x v="1"/>
    <x v="0"/>
    <m/>
    <x v="3"/>
  </r>
  <r>
    <x v="578"/>
    <d v="2026-05-11T18:12:37"/>
    <x v="5"/>
    <x v="3"/>
    <x v="0"/>
    <n v="3562634"/>
    <x v="5"/>
    <s v="Connected"/>
    <s v="Yes"/>
    <x v="1"/>
    <x v="0"/>
    <m/>
    <x v="1"/>
  </r>
  <r>
    <x v="579"/>
    <d v="2026-05-11T23:38:23"/>
    <x v="0"/>
    <x v="1"/>
    <x v="2"/>
    <n v="6040149"/>
    <x v="1"/>
    <s v="Connected"/>
    <s v="Yes"/>
    <x v="1"/>
    <x v="1"/>
    <n v="6150000"/>
    <x v="0"/>
  </r>
  <r>
    <x v="580"/>
    <d v="2026-05-12T05:04:09"/>
    <x v="5"/>
    <x v="0"/>
    <x v="0"/>
    <n v="6628448"/>
    <x v="0"/>
    <s v="Connected"/>
    <s v="Yes"/>
    <x v="0"/>
    <x v="0"/>
    <m/>
    <x v="0"/>
  </r>
  <r>
    <x v="581"/>
    <d v="2026-05-12T10:29:55"/>
    <x v="1"/>
    <x v="5"/>
    <x v="1"/>
    <n v="2334379"/>
    <x v="5"/>
    <s v="Not Connected"/>
    <s v="No"/>
    <x v="0"/>
    <x v="2"/>
    <m/>
    <x v="2"/>
  </r>
  <r>
    <x v="582"/>
    <d v="2026-05-12T15:55:41"/>
    <x v="5"/>
    <x v="1"/>
    <x v="0"/>
    <n v="3680913"/>
    <x v="1"/>
    <s v="Connected"/>
    <s v="No"/>
    <x v="0"/>
    <x v="2"/>
    <m/>
    <x v="1"/>
  </r>
  <r>
    <x v="583"/>
    <d v="2026-05-12T21:21:26"/>
    <x v="0"/>
    <x v="1"/>
    <x v="0"/>
    <n v="4414474"/>
    <x v="1"/>
    <s v="Connected"/>
    <s v="Yes"/>
    <x v="1"/>
    <x v="1"/>
    <n v="4200000"/>
    <x v="1"/>
  </r>
  <r>
    <x v="584"/>
    <d v="2026-05-13T02:47:12"/>
    <x v="3"/>
    <x v="2"/>
    <x v="2"/>
    <n v="7361425"/>
    <x v="4"/>
    <s v="Not Connected"/>
    <s v="Yes"/>
    <x v="0"/>
    <x v="0"/>
    <m/>
    <x v="0"/>
  </r>
  <r>
    <x v="585"/>
    <d v="2026-05-13T08:12:58"/>
    <x v="0"/>
    <x v="0"/>
    <x v="2"/>
    <n v="14957499"/>
    <x v="5"/>
    <s v="Connected"/>
    <s v="No"/>
    <x v="0"/>
    <x v="2"/>
    <m/>
    <x v="4"/>
  </r>
  <r>
    <x v="586"/>
    <d v="2026-05-13T13:38:44"/>
    <x v="4"/>
    <x v="3"/>
    <x v="0"/>
    <n v="4809510"/>
    <x v="3"/>
    <s v="Connected"/>
    <s v="Yes"/>
    <x v="1"/>
    <x v="0"/>
    <m/>
    <x v="1"/>
  </r>
  <r>
    <x v="587"/>
    <d v="2026-05-13T19:04:30"/>
    <x v="4"/>
    <x v="5"/>
    <x v="2"/>
    <n v="9487627"/>
    <x v="0"/>
    <s v="Connected"/>
    <s v="No"/>
    <x v="0"/>
    <x v="2"/>
    <m/>
    <x v="3"/>
  </r>
  <r>
    <x v="588"/>
    <d v="2026-05-14T00:30:16"/>
    <x v="4"/>
    <x v="5"/>
    <x v="0"/>
    <n v="3940335"/>
    <x v="4"/>
    <s v="Not Connected"/>
    <s v="No"/>
    <x v="0"/>
    <x v="2"/>
    <m/>
    <x v="1"/>
  </r>
  <r>
    <x v="589"/>
    <d v="2026-05-14T05:56:02"/>
    <x v="4"/>
    <x v="3"/>
    <x v="2"/>
    <n v="9459821"/>
    <x v="4"/>
    <s v="Connected"/>
    <s v="Yes"/>
    <x v="1"/>
    <x v="0"/>
    <m/>
    <x v="3"/>
  </r>
  <r>
    <x v="590"/>
    <d v="2026-05-14T11:21:48"/>
    <x v="4"/>
    <x v="3"/>
    <x v="1"/>
    <n v="4709814"/>
    <x v="5"/>
    <s v="Connected"/>
    <s v="Yes"/>
    <x v="1"/>
    <x v="1"/>
    <n v="4800000"/>
    <x v="1"/>
  </r>
  <r>
    <x v="591"/>
    <d v="2026-05-14T16:47:34"/>
    <x v="3"/>
    <x v="2"/>
    <x v="1"/>
    <n v="4446715"/>
    <x v="1"/>
    <s v="Connected"/>
    <s v="Yes"/>
    <x v="1"/>
    <x v="1"/>
    <n v="4100000"/>
    <x v="1"/>
  </r>
  <r>
    <x v="592"/>
    <d v="2026-05-14T22:13:20"/>
    <x v="4"/>
    <x v="0"/>
    <x v="2"/>
    <n v="11257199"/>
    <x v="2"/>
    <s v="Connected"/>
    <s v="Yes"/>
    <x v="1"/>
    <x v="1"/>
    <n v="10750000"/>
    <x v="3"/>
  </r>
  <r>
    <x v="593"/>
    <d v="2026-05-15T03:39:06"/>
    <x v="0"/>
    <x v="0"/>
    <x v="0"/>
    <n v="3555710"/>
    <x v="5"/>
    <s v="Connected"/>
    <s v="No"/>
    <x v="0"/>
    <x v="2"/>
    <m/>
    <x v="1"/>
  </r>
  <r>
    <x v="594"/>
    <d v="2026-05-15T09:04:52"/>
    <x v="2"/>
    <x v="3"/>
    <x v="0"/>
    <n v="3274349"/>
    <x v="1"/>
    <s v="Connected"/>
    <s v="Yes"/>
    <x v="1"/>
    <x v="0"/>
    <m/>
    <x v="1"/>
  </r>
  <r>
    <x v="595"/>
    <d v="2026-05-15T14:30:38"/>
    <x v="5"/>
    <x v="1"/>
    <x v="2"/>
    <n v="7815419"/>
    <x v="4"/>
    <s v="Connected"/>
    <s v="No"/>
    <x v="1"/>
    <x v="1"/>
    <n v="7700000"/>
    <x v="0"/>
  </r>
  <r>
    <x v="596"/>
    <d v="2026-05-15T19:56:24"/>
    <x v="3"/>
    <x v="0"/>
    <x v="0"/>
    <n v="4427197"/>
    <x v="1"/>
    <s v="Not Connected"/>
    <s v="No"/>
    <x v="0"/>
    <x v="2"/>
    <m/>
    <x v="1"/>
  </r>
  <r>
    <x v="597"/>
    <d v="2026-05-16T01:22:10"/>
    <x v="4"/>
    <x v="0"/>
    <x v="0"/>
    <n v="3439358"/>
    <x v="0"/>
    <s v="Connected"/>
    <s v="Yes"/>
    <x v="1"/>
    <x v="1"/>
    <n v="3200000"/>
    <x v="1"/>
  </r>
  <r>
    <x v="598"/>
    <d v="2026-05-16T06:47:56"/>
    <x v="4"/>
    <x v="0"/>
    <x v="0"/>
    <n v="3020855"/>
    <x v="5"/>
    <s v="Connected"/>
    <s v="No"/>
    <x v="0"/>
    <x v="2"/>
    <m/>
    <x v="1"/>
  </r>
  <r>
    <x v="599"/>
    <d v="2026-05-16T12:13:42"/>
    <x v="4"/>
    <x v="2"/>
    <x v="0"/>
    <n v="3811527"/>
    <x v="2"/>
    <s v="Connected"/>
    <s v="Yes"/>
    <x v="1"/>
    <x v="1"/>
    <n v="3600000"/>
    <x v="1"/>
  </r>
  <r>
    <x v="600"/>
    <d v="2026-05-16T17:39:28"/>
    <x v="4"/>
    <x v="0"/>
    <x v="2"/>
    <n v="15607324"/>
    <x v="4"/>
    <s v="Connected"/>
    <s v="No"/>
    <x v="1"/>
    <x v="1"/>
    <n v="16250000"/>
    <x v="4"/>
  </r>
  <r>
    <x v="601"/>
    <d v="2026-05-16T23:05:14"/>
    <x v="0"/>
    <x v="5"/>
    <x v="0"/>
    <n v="3356427"/>
    <x v="2"/>
    <s v="Connected"/>
    <s v="No"/>
    <x v="0"/>
    <x v="2"/>
    <m/>
    <x v="1"/>
  </r>
  <r>
    <x v="602"/>
    <d v="2026-05-17T04:30:59"/>
    <x v="4"/>
    <x v="0"/>
    <x v="2"/>
    <n v="7928854"/>
    <x v="1"/>
    <s v="Connected"/>
    <s v="No"/>
    <x v="1"/>
    <x v="1"/>
    <n v="8300000"/>
    <x v="0"/>
  </r>
  <r>
    <x v="603"/>
    <d v="2026-05-17T09:56:45"/>
    <x v="4"/>
    <x v="5"/>
    <x v="0"/>
    <n v="3115657"/>
    <x v="4"/>
    <s v="Connected"/>
    <s v="Yes"/>
    <x v="0"/>
    <x v="0"/>
    <m/>
    <x v="1"/>
  </r>
  <r>
    <x v="604"/>
    <d v="2026-05-17T15:22:31"/>
    <x v="4"/>
    <x v="0"/>
    <x v="0"/>
    <n v="4622036"/>
    <x v="0"/>
    <s v="Connected"/>
    <s v="Yes"/>
    <x v="0"/>
    <x v="0"/>
    <m/>
    <x v="1"/>
  </r>
  <r>
    <x v="605"/>
    <d v="2026-05-17T20:48:17"/>
    <x v="5"/>
    <x v="1"/>
    <x v="0"/>
    <n v="5412677"/>
    <x v="1"/>
    <s v="Connected"/>
    <s v="No"/>
    <x v="1"/>
    <x v="2"/>
    <m/>
    <x v="0"/>
  </r>
  <r>
    <x v="606"/>
    <d v="2026-05-18T02:14:03"/>
    <x v="0"/>
    <x v="0"/>
    <x v="0"/>
    <n v="4569519"/>
    <x v="1"/>
    <s v="Connected"/>
    <s v="No"/>
    <x v="0"/>
    <x v="2"/>
    <m/>
    <x v="1"/>
  </r>
  <r>
    <x v="607"/>
    <d v="2026-05-18T07:39:49"/>
    <x v="0"/>
    <x v="4"/>
    <x v="0"/>
    <n v="3667565"/>
    <x v="4"/>
    <s v="Connected"/>
    <s v="Yes"/>
    <x v="1"/>
    <x v="1"/>
    <n v="3750000"/>
    <x v="1"/>
  </r>
  <r>
    <x v="608"/>
    <d v="2026-05-18T13:05:35"/>
    <x v="5"/>
    <x v="0"/>
    <x v="2"/>
    <n v="10347757"/>
    <x v="2"/>
    <s v="Connected"/>
    <s v="Yes"/>
    <x v="1"/>
    <x v="0"/>
    <m/>
    <x v="3"/>
  </r>
  <r>
    <x v="609"/>
    <d v="2026-05-18T18:31:21"/>
    <x v="3"/>
    <x v="1"/>
    <x v="0"/>
    <n v="5601888"/>
    <x v="1"/>
    <s v="Connected"/>
    <s v="Yes"/>
    <x v="1"/>
    <x v="1"/>
    <n v="5350000"/>
    <x v="0"/>
  </r>
  <r>
    <x v="610"/>
    <d v="2026-05-18T23:57:07"/>
    <x v="4"/>
    <x v="2"/>
    <x v="1"/>
    <n v="2179222"/>
    <x v="0"/>
    <s v="Connected"/>
    <s v="Yes"/>
    <x v="0"/>
    <x v="0"/>
    <m/>
    <x v="2"/>
  </r>
  <r>
    <x v="611"/>
    <d v="2026-05-19T05:22:53"/>
    <x v="2"/>
    <x v="3"/>
    <x v="0"/>
    <n v="4390227"/>
    <x v="1"/>
    <s v="Connected"/>
    <s v="Yes"/>
    <x v="0"/>
    <x v="0"/>
    <m/>
    <x v="1"/>
  </r>
  <r>
    <x v="612"/>
    <d v="2026-05-19T10:48:39"/>
    <x v="3"/>
    <x v="1"/>
    <x v="0"/>
    <n v="6077791"/>
    <x v="1"/>
    <s v="Not Connected"/>
    <s v="No"/>
    <x v="0"/>
    <x v="2"/>
    <m/>
    <x v="0"/>
  </r>
  <r>
    <x v="613"/>
    <d v="2026-05-19T16:14:25"/>
    <x v="4"/>
    <x v="5"/>
    <x v="2"/>
    <n v="7084309"/>
    <x v="2"/>
    <s v="Connected"/>
    <s v="No"/>
    <x v="0"/>
    <x v="2"/>
    <m/>
    <x v="0"/>
  </r>
  <r>
    <x v="614"/>
    <d v="2026-05-19T21:40:11"/>
    <x v="2"/>
    <x v="5"/>
    <x v="0"/>
    <n v="3170948"/>
    <x v="4"/>
    <s v="Connected"/>
    <s v="No"/>
    <x v="0"/>
    <x v="2"/>
    <m/>
    <x v="1"/>
  </r>
  <r>
    <x v="615"/>
    <d v="2026-05-20T03:05:57"/>
    <x v="1"/>
    <x v="3"/>
    <x v="0"/>
    <n v="6071870"/>
    <x v="0"/>
    <s v="Connected"/>
    <s v="Unknown"/>
    <x v="1"/>
    <x v="0"/>
    <m/>
    <x v="0"/>
  </r>
  <r>
    <x v="616"/>
    <d v="2026-05-20T08:31:43"/>
    <x v="4"/>
    <x v="2"/>
    <x v="0"/>
    <n v="3501793"/>
    <x v="3"/>
    <s v="Connected"/>
    <s v="Yes"/>
    <x v="0"/>
    <x v="0"/>
    <m/>
    <x v="1"/>
  </r>
  <r>
    <x v="617"/>
    <d v="2026-05-20T13:57:29"/>
    <x v="0"/>
    <x v="3"/>
    <x v="0"/>
    <n v="3268508"/>
    <x v="1"/>
    <s v="Connected"/>
    <s v="Yes"/>
    <x v="0"/>
    <x v="0"/>
    <m/>
    <x v="1"/>
  </r>
  <r>
    <x v="618"/>
    <d v="2026-05-20T19:23:15"/>
    <x v="2"/>
    <x v="1"/>
    <x v="1"/>
    <n v="2282259"/>
    <x v="5"/>
    <s v="Not Connected"/>
    <s v="Yes"/>
    <x v="0"/>
    <x v="0"/>
    <m/>
    <x v="2"/>
  </r>
  <r>
    <x v="619"/>
    <d v="2026-05-21T00:49:01"/>
    <x v="2"/>
    <x v="3"/>
    <x v="0"/>
    <n v="3176968"/>
    <x v="5"/>
    <s v="Not Connected"/>
    <s v="Yes"/>
    <x v="0"/>
    <x v="0"/>
    <m/>
    <x v="1"/>
  </r>
  <r>
    <x v="620"/>
    <d v="2026-05-21T06:14:46"/>
    <x v="4"/>
    <x v="1"/>
    <x v="2"/>
    <n v="6735122"/>
    <x v="2"/>
    <s v="Not Connected"/>
    <s v="Yes"/>
    <x v="0"/>
    <x v="0"/>
    <m/>
    <x v="0"/>
  </r>
  <r>
    <x v="621"/>
    <d v="2026-05-21T11:40:32"/>
    <x v="0"/>
    <x v="0"/>
    <x v="1"/>
    <n v="3506996"/>
    <x v="0"/>
    <s v="Not Connected"/>
    <s v="Yes"/>
    <x v="0"/>
    <x v="0"/>
    <m/>
    <x v="1"/>
  </r>
  <r>
    <x v="622"/>
    <d v="2026-05-21T17:06:18"/>
    <x v="0"/>
    <x v="1"/>
    <x v="0"/>
    <n v="6136793"/>
    <x v="5"/>
    <s v="Connected"/>
    <s v="Yes"/>
    <x v="0"/>
    <x v="0"/>
    <m/>
    <x v="0"/>
  </r>
  <r>
    <x v="623"/>
    <d v="2026-05-21T22:32:04"/>
    <x v="5"/>
    <x v="2"/>
    <x v="1"/>
    <n v="2238591"/>
    <x v="5"/>
    <s v="Connected"/>
    <s v="No"/>
    <x v="0"/>
    <x v="2"/>
    <m/>
    <x v="2"/>
  </r>
  <r>
    <x v="624"/>
    <d v="2026-05-22T03:57:50"/>
    <x v="3"/>
    <x v="0"/>
    <x v="0"/>
    <n v="4583794"/>
    <x v="5"/>
    <s v="Connected"/>
    <s v="Yes"/>
    <x v="1"/>
    <x v="0"/>
    <m/>
    <x v="1"/>
  </r>
  <r>
    <x v="625"/>
    <d v="2026-05-22T09:23:36"/>
    <x v="0"/>
    <x v="3"/>
    <x v="1"/>
    <n v="2083510"/>
    <x v="2"/>
    <s v="Connected"/>
    <s v="Yes"/>
    <x v="1"/>
    <x v="0"/>
    <m/>
    <x v="2"/>
  </r>
  <r>
    <x v="626"/>
    <d v="2026-05-22T14:49:22"/>
    <x v="5"/>
    <x v="0"/>
    <x v="0"/>
    <n v="5028037"/>
    <x v="1"/>
    <s v="Not Connected"/>
    <s v="Yes"/>
    <x v="0"/>
    <x v="0"/>
    <m/>
    <x v="0"/>
  </r>
  <r>
    <x v="627"/>
    <d v="2026-05-22T20:15:08"/>
    <x v="2"/>
    <x v="1"/>
    <x v="2"/>
    <n v="6584668"/>
    <x v="1"/>
    <s v="Connected"/>
    <s v="Yes"/>
    <x v="0"/>
    <x v="0"/>
    <m/>
    <x v="0"/>
  </r>
  <r>
    <x v="628"/>
    <d v="2026-05-23T01:40:54"/>
    <x v="4"/>
    <x v="0"/>
    <x v="0"/>
    <n v="8193482"/>
    <x v="4"/>
    <s v="Not Connected"/>
    <s v="No"/>
    <x v="0"/>
    <x v="2"/>
    <m/>
    <x v="3"/>
  </r>
  <r>
    <x v="629"/>
    <d v="2026-05-23T07:06:40"/>
    <x v="0"/>
    <x v="1"/>
    <x v="0"/>
    <n v="3964190"/>
    <x v="2"/>
    <s v="Connected"/>
    <s v="Yes"/>
    <x v="0"/>
    <x v="1"/>
    <n v="3800000"/>
    <x v="1"/>
  </r>
  <r>
    <x v="630"/>
    <d v="2026-05-23T12:32:26"/>
    <x v="3"/>
    <x v="4"/>
    <x v="2"/>
    <n v="15081363"/>
    <x v="4"/>
    <s v="Not Connected"/>
    <s v="No"/>
    <x v="0"/>
    <x v="2"/>
    <m/>
    <x v="4"/>
  </r>
  <r>
    <x v="631"/>
    <d v="2026-05-23T17:58:12"/>
    <x v="2"/>
    <x v="5"/>
    <x v="2"/>
    <n v="7041566"/>
    <x v="4"/>
    <s v="Not Connected"/>
    <s v="Yes"/>
    <x v="0"/>
    <x v="0"/>
    <m/>
    <x v="0"/>
  </r>
  <r>
    <x v="632"/>
    <d v="2026-05-23T23:23:58"/>
    <x v="5"/>
    <x v="3"/>
    <x v="0"/>
    <n v="5231577"/>
    <x v="5"/>
    <s v="Not Connected"/>
    <s v="No"/>
    <x v="0"/>
    <x v="2"/>
    <m/>
    <x v="0"/>
  </r>
  <r>
    <x v="633"/>
    <d v="2026-05-24T04:49:44"/>
    <x v="5"/>
    <x v="4"/>
    <x v="0"/>
    <n v="5387199"/>
    <x v="4"/>
    <s v="Connected"/>
    <s v="Yes"/>
    <x v="0"/>
    <x v="0"/>
    <m/>
    <x v="0"/>
  </r>
  <r>
    <x v="634"/>
    <d v="2026-05-24T10:15:30"/>
    <x v="4"/>
    <x v="2"/>
    <x v="2"/>
    <n v="7835295"/>
    <x v="2"/>
    <s v="Connected"/>
    <s v="Yes"/>
    <x v="1"/>
    <x v="0"/>
    <m/>
    <x v="0"/>
  </r>
  <r>
    <x v="635"/>
    <d v="2026-05-24T15:41:16"/>
    <x v="5"/>
    <x v="0"/>
    <x v="2"/>
    <n v="8747668"/>
    <x v="3"/>
    <s v="Connected"/>
    <s v="Yes"/>
    <x v="1"/>
    <x v="0"/>
    <m/>
    <x v="3"/>
  </r>
  <r>
    <x v="636"/>
    <d v="2026-05-24T21:07:02"/>
    <x v="5"/>
    <x v="5"/>
    <x v="1"/>
    <n v="2014241"/>
    <x v="5"/>
    <s v="Not Connected"/>
    <s v="No"/>
    <x v="0"/>
    <x v="2"/>
    <m/>
    <x v="2"/>
  </r>
  <r>
    <x v="637"/>
    <d v="2026-05-25T02:32:48"/>
    <x v="0"/>
    <x v="0"/>
    <x v="2"/>
    <n v="7417231"/>
    <x v="5"/>
    <s v="Not Connected"/>
    <s v="Yes"/>
    <x v="0"/>
    <x v="0"/>
    <m/>
    <x v="0"/>
  </r>
  <r>
    <x v="638"/>
    <d v="2026-05-25T07:58:34"/>
    <x v="0"/>
    <x v="2"/>
    <x v="1"/>
    <n v="2027466"/>
    <x v="5"/>
    <s v="Connected"/>
    <s v="Yes"/>
    <x v="0"/>
    <x v="1"/>
    <n v="2050000"/>
    <x v="2"/>
  </r>
  <r>
    <x v="639"/>
    <d v="2026-05-25T13:24:19"/>
    <x v="0"/>
    <x v="2"/>
    <x v="2"/>
    <n v="7151882"/>
    <x v="1"/>
    <s v="Connected"/>
    <s v="No"/>
    <x v="0"/>
    <x v="2"/>
    <m/>
    <x v="0"/>
  </r>
  <r>
    <x v="640"/>
    <d v="2026-05-25T18:50:05"/>
    <x v="4"/>
    <x v="1"/>
    <x v="0"/>
    <n v="5444132"/>
    <x v="2"/>
    <s v="Not Connected"/>
    <s v="No"/>
    <x v="0"/>
    <x v="2"/>
    <m/>
    <x v="0"/>
  </r>
  <r>
    <x v="641"/>
    <d v="2026-05-26T00:15:51"/>
    <x v="0"/>
    <x v="4"/>
    <x v="0"/>
    <n v="5200271"/>
    <x v="5"/>
    <s v="Connected"/>
    <s v="Yes"/>
    <x v="0"/>
    <x v="0"/>
    <m/>
    <x v="0"/>
  </r>
  <r>
    <x v="642"/>
    <d v="2026-05-26T05:41:37"/>
    <x v="0"/>
    <x v="1"/>
    <x v="2"/>
    <n v="8928639"/>
    <x v="1"/>
    <s v="Not Connected"/>
    <s v="Yes"/>
    <x v="0"/>
    <x v="0"/>
    <m/>
    <x v="3"/>
  </r>
  <r>
    <x v="643"/>
    <d v="2026-05-26T11:07:23"/>
    <x v="0"/>
    <x v="3"/>
    <x v="2"/>
    <n v="8692459"/>
    <x v="1"/>
    <s v="Connected"/>
    <s v="Yes"/>
    <x v="0"/>
    <x v="0"/>
    <m/>
    <x v="3"/>
  </r>
  <r>
    <x v="644"/>
    <d v="2026-05-26T16:33:09"/>
    <x v="4"/>
    <x v="0"/>
    <x v="0"/>
    <n v="7024609"/>
    <x v="5"/>
    <s v="Connected"/>
    <s v="No"/>
    <x v="0"/>
    <x v="2"/>
    <m/>
    <x v="0"/>
  </r>
  <r>
    <x v="645"/>
    <d v="2026-05-26T21:58:55"/>
    <x v="2"/>
    <x v="4"/>
    <x v="0"/>
    <n v="5177045"/>
    <x v="1"/>
    <s v="Connected"/>
    <s v="Yes"/>
    <x v="0"/>
    <x v="0"/>
    <m/>
    <x v="0"/>
  </r>
  <r>
    <x v="646"/>
    <d v="2026-05-27T03:24:41"/>
    <x v="3"/>
    <x v="0"/>
    <x v="1"/>
    <n v="3415106"/>
    <x v="1"/>
    <s v="Connected"/>
    <s v="No"/>
    <x v="0"/>
    <x v="2"/>
    <m/>
    <x v="1"/>
  </r>
  <r>
    <x v="647"/>
    <d v="2026-05-27T08:50:27"/>
    <x v="3"/>
    <x v="4"/>
    <x v="0"/>
    <n v="6252836"/>
    <x v="1"/>
    <s v="Connected"/>
    <s v="No"/>
    <x v="0"/>
    <x v="2"/>
    <m/>
    <x v="0"/>
  </r>
  <r>
    <x v="648"/>
    <d v="2026-05-27T14:16:13"/>
    <x v="2"/>
    <x v="4"/>
    <x v="0"/>
    <n v="4003466"/>
    <x v="2"/>
    <s v="Connected"/>
    <s v="No"/>
    <x v="0"/>
    <x v="2"/>
    <m/>
    <x v="1"/>
  </r>
  <r>
    <x v="649"/>
    <d v="2026-05-27T19:41:59"/>
    <x v="5"/>
    <x v="3"/>
    <x v="0"/>
    <n v="6546251"/>
    <x v="4"/>
    <s v="Connected"/>
    <s v="No"/>
    <x v="0"/>
    <x v="2"/>
    <m/>
    <x v="0"/>
  </r>
  <r>
    <x v="650"/>
    <d v="2026-05-28T01:07:45"/>
    <x v="4"/>
    <x v="0"/>
    <x v="0"/>
    <n v="7850851"/>
    <x v="5"/>
    <s v="Connected"/>
    <s v="Yes"/>
    <x v="0"/>
    <x v="0"/>
    <m/>
    <x v="0"/>
  </r>
  <r>
    <x v="651"/>
    <d v="2026-05-28T06:33:31"/>
    <x v="5"/>
    <x v="5"/>
    <x v="0"/>
    <n v="3920041"/>
    <x v="3"/>
    <s v="Connected"/>
    <s v="Yes"/>
    <x v="0"/>
    <x v="1"/>
    <n v="3650000"/>
    <x v="1"/>
  </r>
  <r>
    <x v="652"/>
    <d v="2026-05-28T11:59:17"/>
    <x v="3"/>
    <x v="0"/>
    <x v="0"/>
    <n v="8943446"/>
    <x v="4"/>
    <s v="Not Connected"/>
    <s v="No"/>
    <x v="0"/>
    <x v="2"/>
    <m/>
    <x v="3"/>
  </r>
  <r>
    <x v="653"/>
    <d v="2026-05-28T17:25:03"/>
    <x v="2"/>
    <x v="5"/>
    <x v="0"/>
    <n v="6233264"/>
    <x v="2"/>
    <s v="Not Connected"/>
    <s v="No"/>
    <x v="0"/>
    <x v="2"/>
    <m/>
    <x v="0"/>
  </r>
  <r>
    <x v="654"/>
    <d v="2026-05-28T22:50:49"/>
    <x v="5"/>
    <x v="0"/>
    <x v="2"/>
    <n v="7587893"/>
    <x v="5"/>
    <s v="Not Connected"/>
    <s v="Yes"/>
    <x v="0"/>
    <x v="0"/>
    <m/>
    <x v="0"/>
  </r>
  <r>
    <x v="655"/>
    <d v="2026-05-29T04:16:35"/>
    <x v="4"/>
    <x v="2"/>
    <x v="0"/>
    <n v="3188069"/>
    <x v="5"/>
    <s v="Not Connected"/>
    <s v="No"/>
    <x v="0"/>
    <x v="2"/>
    <m/>
    <x v="1"/>
  </r>
  <r>
    <x v="656"/>
    <d v="2026-05-29T09:42:21"/>
    <x v="0"/>
    <x v="1"/>
    <x v="1"/>
    <n v="2873279"/>
    <x v="5"/>
    <s v="Not Connected"/>
    <s v="No"/>
    <x v="0"/>
    <x v="2"/>
    <m/>
    <x v="2"/>
  </r>
  <r>
    <x v="657"/>
    <d v="2026-05-29T15:08:06"/>
    <x v="0"/>
    <x v="5"/>
    <x v="1"/>
    <n v="2319497"/>
    <x v="5"/>
    <s v="Connected"/>
    <s v="No"/>
    <x v="0"/>
    <x v="2"/>
    <m/>
    <x v="2"/>
  </r>
  <r>
    <x v="658"/>
    <d v="2026-05-29T20:33:52"/>
    <x v="3"/>
    <x v="5"/>
    <x v="0"/>
    <n v="4418060"/>
    <x v="1"/>
    <s v="Not Connected"/>
    <s v="No"/>
    <x v="1"/>
    <x v="2"/>
    <m/>
    <x v="1"/>
  </r>
  <r>
    <x v="659"/>
    <d v="2026-05-30T01:59:38"/>
    <x v="5"/>
    <x v="1"/>
    <x v="2"/>
    <n v="8944719"/>
    <x v="0"/>
    <s v="Connected"/>
    <s v="Yes"/>
    <x v="0"/>
    <x v="0"/>
    <m/>
    <x v="3"/>
  </r>
  <r>
    <x v="660"/>
    <d v="2026-05-30T07:25:24"/>
    <x v="0"/>
    <x v="3"/>
    <x v="0"/>
    <n v="3491215"/>
    <x v="1"/>
    <s v="Connected"/>
    <s v="No"/>
    <x v="1"/>
    <x v="1"/>
    <n v="3650000"/>
    <x v="1"/>
  </r>
  <r>
    <x v="661"/>
    <d v="2026-05-30T12:51:10"/>
    <x v="1"/>
    <x v="1"/>
    <x v="1"/>
    <n v="2897203"/>
    <x v="1"/>
    <s v="Connected"/>
    <s v="No"/>
    <x v="1"/>
    <x v="2"/>
    <m/>
    <x v="2"/>
  </r>
  <r>
    <x v="662"/>
    <d v="2026-05-30T18:16:56"/>
    <x v="3"/>
    <x v="2"/>
    <x v="0"/>
    <n v="5185339"/>
    <x v="4"/>
    <s v="Not Connected"/>
    <s v="No"/>
    <x v="0"/>
    <x v="2"/>
    <m/>
    <x v="0"/>
  </r>
  <r>
    <x v="663"/>
    <d v="2026-05-30T23:42:42"/>
    <x v="0"/>
    <x v="1"/>
    <x v="2"/>
    <n v="10640322"/>
    <x v="5"/>
    <s v="Connected"/>
    <s v="Yes"/>
    <x v="1"/>
    <x v="1"/>
    <n v="10100000"/>
    <x v="3"/>
  </r>
  <r>
    <x v="664"/>
    <d v="2026-05-31T05:08:28"/>
    <x v="4"/>
    <x v="2"/>
    <x v="2"/>
    <n v="7683032"/>
    <x v="4"/>
    <s v="Connected"/>
    <s v="Yes"/>
    <x v="1"/>
    <x v="1"/>
    <n v="8050000"/>
    <x v="0"/>
  </r>
  <r>
    <x v="665"/>
    <d v="2026-05-31T10:34:14"/>
    <x v="4"/>
    <x v="4"/>
    <x v="0"/>
    <n v="8260329"/>
    <x v="4"/>
    <s v="Connected"/>
    <s v="Yes"/>
    <x v="1"/>
    <x v="1"/>
    <n v="8150000"/>
    <x v="3"/>
  </r>
  <r>
    <x v="666"/>
    <d v="2026-05-31T16:00:00"/>
    <x v="0"/>
    <x v="0"/>
    <x v="0"/>
    <n v="4545257"/>
    <x v="2"/>
    <s v="Connected"/>
    <s v="Yes"/>
    <x v="1"/>
    <x v="0"/>
    <m/>
    <x v="1"/>
  </r>
  <r>
    <x v="667"/>
    <d v="2026-05-31T21:25:46"/>
    <x v="4"/>
    <x v="2"/>
    <x v="2"/>
    <n v="9002265"/>
    <x v="3"/>
    <s v="Connected"/>
    <s v="Yes"/>
    <x v="0"/>
    <x v="1"/>
    <n v="9200000"/>
    <x v="3"/>
  </r>
  <r>
    <x v="668"/>
    <d v="2026-06-01T02:51:32"/>
    <x v="4"/>
    <x v="0"/>
    <x v="2"/>
    <n v="8183955"/>
    <x v="1"/>
    <s v="Connected"/>
    <s v="No"/>
    <x v="0"/>
    <x v="1"/>
    <n v="7550000"/>
    <x v="3"/>
  </r>
  <r>
    <x v="669"/>
    <d v="2026-06-01T08:17:18"/>
    <x v="0"/>
    <x v="4"/>
    <x v="0"/>
    <n v="4979810"/>
    <x v="4"/>
    <s v="Connected"/>
    <s v="Yes"/>
    <x v="0"/>
    <x v="1"/>
    <n v="5150000"/>
    <x v="1"/>
  </r>
  <r>
    <x v="670"/>
    <d v="2026-06-01T13:43:04"/>
    <x v="4"/>
    <x v="5"/>
    <x v="2"/>
    <n v="7261179"/>
    <x v="0"/>
    <s v="Connected"/>
    <s v="Yes"/>
    <x v="1"/>
    <x v="0"/>
    <m/>
    <x v="0"/>
  </r>
  <r>
    <x v="671"/>
    <d v="2026-06-01T19:08:50"/>
    <x v="2"/>
    <x v="2"/>
    <x v="0"/>
    <n v="6267414"/>
    <x v="2"/>
    <s v="Not Connected"/>
    <s v="No"/>
    <x v="0"/>
    <x v="2"/>
    <m/>
    <x v="0"/>
  </r>
  <r>
    <x v="672"/>
    <d v="2026-06-02T00:34:36"/>
    <x v="4"/>
    <x v="2"/>
    <x v="2"/>
    <n v="7971277"/>
    <x v="1"/>
    <s v="Not Connected"/>
    <s v="No"/>
    <x v="0"/>
    <x v="2"/>
    <m/>
    <x v="0"/>
  </r>
  <r>
    <x v="673"/>
    <d v="2026-06-02T06:00:22"/>
    <x v="5"/>
    <x v="4"/>
    <x v="0"/>
    <n v="4352206"/>
    <x v="0"/>
    <s v="Connected"/>
    <s v="No"/>
    <x v="0"/>
    <x v="2"/>
    <m/>
    <x v="1"/>
  </r>
  <r>
    <x v="674"/>
    <d v="2026-06-02T11:26:08"/>
    <x v="5"/>
    <x v="4"/>
    <x v="1"/>
    <n v="6902717"/>
    <x v="5"/>
    <s v="Not Connected"/>
    <s v="No"/>
    <x v="0"/>
    <x v="2"/>
    <m/>
    <x v="0"/>
  </r>
  <r>
    <x v="675"/>
    <d v="2026-06-02T16:51:54"/>
    <x v="1"/>
    <x v="5"/>
    <x v="0"/>
    <n v="3249737"/>
    <x v="0"/>
    <s v="Connected"/>
    <s v="Yes"/>
    <x v="0"/>
    <x v="0"/>
    <m/>
    <x v="1"/>
  </r>
  <r>
    <x v="676"/>
    <d v="2026-06-02T22:17:39"/>
    <x v="4"/>
    <x v="0"/>
    <x v="0"/>
    <n v="6496645"/>
    <x v="5"/>
    <s v="Connected"/>
    <s v="Yes"/>
    <x v="0"/>
    <x v="0"/>
    <m/>
    <x v="0"/>
  </r>
  <r>
    <x v="677"/>
    <d v="2026-06-03T03:43:25"/>
    <x v="0"/>
    <x v="5"/>
    <x v="0"/>
    <n v="5093806"/>
    <x v="4"/>
    <s v="Connected"/>
    <s v="No"/>
    <x v="0"/>
    <x v="2"/>
    <m/>
    <x v="0"/>
  </r>
  <r>
    <x v="678"/>
    <d v="2026-06-03T09:09:11"/>
    <x v="1"/>
    <x v="0"/>
    <x v="0"/>
    <n v="5428058"/>
    <x v="0"/>
    <s v="Connected"/>
    <s v="Yes"/>
    <x v="0"/>
    <x v="0"/>
    <m/>
    <x v="0"/>
  </r>
  <r>
    <x v="679"/>
    <d v="2026-06-03T14:34:57"/>
    <x v="2"/>
    <x v="3"/>
    <x v="0"/>
    <n v="3923639"/>
    <x v="1"/>
    <s v="Connected"/>
    <s v="Yes"/>
    <x v="0"/>
    <x v="1"/>
    <n v="3750000"/>
    <x v="1"/>
  </r>
  <r>
    <x v="680"/>
    <d v="2026-06-03T20:00:43"/>
    <x v="2"/>
    <x v="5"/>
    <x v="0"/>
    <n v="7542093"/>
    <x v="1"/>
    <s v="Connected"/>
    <s v="Yes"/>
    <x v="1"/>
    <x v="0"/>
    <m/>
    <x v="0"/>
  </r>
  <r>
    <x v="681"/>
    <d v="2026-06-04T01:26:29"/>
    <x v="0"/>
    <x v="2"/>
    <x v="1"/>
    <n v="1842221"/>
    <x v="1"/>
    <s v="Connected"/>
    <s v="No"/>
    <x v="0"/>
    <x v="2"/>
    <m/>
    <x v="2"/>
  </r>
  <r>
    <x v="682"/>
    <d v="2026-06-04T06:52:15"/>
    <x v="4"/>
    <x v="3"/>
    <x v="0"/>
    <n v="5679581"/>
    <x v="3"/>
    <s v="Connected"/>
    <s v="Yes"/>
    <x v="0"/>
    <x v="0"/>
    <m/>
    <x v="0"/>
  </r>
  <r>
    <x v="683"/>
    <d v="2026-06-04T12:18:01"/>
    <x v="3"/>
    <x v="4"/>
    <x v="0"/>
    <n v="7354745"/>
    <x v="2"/>
    <s v="Connected"/>
    <s v="Yes"/>
    <x v="1"/>
    <x v="1"/>
    <n v="7400000"/>
    <x v="0"/>
  </r>
  <r>
    <x v="684"/>
    <d v="2026-06-04T17:43:47"/>
    <x v="1"/>
    <x v="0"/>
    <x v="0"/>
    <n v="3551852"/>
    <x v="2"/>
    <s v="Connected"/>
    <s v="Yes"/>
    <x v="0"/>
    <x v="0"/>
    <m/>
    <x v="1"/>
  </r>
  <r>
    <x v="685"/>
    <d v="2026-06-04T23:09:33"/>
    <x v="5"/>
    <x v="2"/>
    <x v="0"/>
    <n v="5031986"/>
    <x v="4"/>
    <s v="Connected"/>
    <s v="Yes"/>
    <x v="1"/>
    <x v="0"/>
    <m/>
    <x v="0"/>
  </r>
  <r>
    <x v="686"/>
    <d v="2026-06-05T04:35:19"/>
    <x v="5"/>
    <x v="2"/>
    <x v="0"/>
    <n v="5434551"/>
    <x v="2"/>
    <s v="Connected"/>
    <s v="No"/>
    <x v="1"/>
    <x v="2"/>
    <m/>
    <x v="0"/>
  </r>
  <r>
    <x v="687"/>
    <d v="2026-06-05T10:01:05"/>
    <x v="0"/>
    <x v="1"/>
    <x v="0"/>
    <n v="3533903"/>
    <x v="1"/>
    <s v="Connected"/>
    <s v="No"/>
    <x v="0"/>
    <x v="2"/>
    <m/>
    <x v="1"/>
  </r>
  <r>
    <x v="688"/>
    <d v="2026-06-05T15:26:51"/>
    <x v="2"/>
    <x v="3"/>
    <x v="0"/>
    <n v="3916931"/>
    <x v="1"/>
    <s v="Connected"/>
    <s v="Yes"/>
    <x v="0"/>
    <x v="0"/>
    <m/>
    <x v="1"/>
  </r>
  <r>
    <x v="689"/>
    <d v="2026-06-05T20:52:37"/>
    <x v="4"/>
    <x v="4"/>
    <x v="0"/>
    <n v="4431282"/>
    <x v="2"/>
    <s v="Connected"/>
    <s v="Yes"/>
    <x v="1"/>
    <x v="1"/>
    <n v="4550000"/>
    <x v="1"/>
  </r>
  <r>
    <x v="690"/>
    <d v="2026-06-06T02:18:23"/>
    <x v="0"/>
    <x v="0"/>
    <x v="0"/>
    <n v="5059071"/>
    <x v="1"/>
    <s v="Not Connected"/>
    <s v="No"/>
    <x v="0"/>
    <x v="2"/>
    <m/>
    <x v="0"/>
  </r>
  <r>
    <x v="691"/>
    <d v="2026-06-06T07:44:09"/>
    <x v="5"/>
    <x v="1"/>
    <x v="2"/>
    <n v="6240011"/>
    <x v="5"/>
    <s v="Connected"/>
    <s v="Yes"/>
    <x v="1"/>
    <x v="1"/>
    <n v="5850000"/>
    <x v="0"/>
  </r>
  <r>
    <x v="692"/>
    <d v="2026-06-06T13:09:55"/>
    <x v="5"/>
    <x v="5"/>
    <x v="0"/>
    <n v="3072684"/>
    <x v="5"/>
    <s v="Not Connected"/>
    <s v="Yes"/>
    <x v="0"/>
    <x v="0"/>
    <m/>
    <x v="1"/>
  </r>
  <r>
    <x v="693"/>
    <d v="2026-06-06T18:35:41"/>
    <x v="0"/>
    <x v="0"/>
    <x v="0"/>
    <n v="6288221"/>
    <x v="5"/>
    <s v="Connected"/>
    <s v="Yes"/>
    <x v="0"/>
    <x v="0"/>
    <m/>
    <x v="0"/>
  </r>
  <r>
    <x v="694"/>
    <d v="2026-06-07T00:01:26"/>
    <x v="4"/>
    <x v="5"/>
    <x v="1"/>
    <n v="2783871"/>
    <x v="0"/>
    <s v="Connected"/>
    <s v="Yes"/>
    <x v="0"/>
    <x v="0"/>
    <m/>
    <x v="2"/>
  </r>
  <r>
    <x v="695"/>
    <d v="2026-06-07T05:27:12"/>
    <x v="3"/>
    <x v="0"/>
    <x v="0"/>
    <n v="6330289"/>
    <x v="1"/>
    <s v="Connected"/>
    <s v="Yes"/>
    <x v="1"/>
    <x v="1"/>
    <n v="6200000"/>
    <x v="0"/>
  </r>
  <r>
    <x v="696"/>
    <d v="2026-06-07T10:52:58"/>
    <x v="0"/>
    <x v="0"/>
    <x v="2"/>
    <n v="10341647"/>
    <x v="2"/>
    <s v="Connected"/>
    <s v="No"/>
    <x v="0"/>
    <x v="2"/>
    <m/>
    <x v="3"/>
  </r>
  <r>
    <x v="697"/>
    <d v="2026-06-07T16:18:44"/>
    <x v="3"/>
    <x v="0"/>
    <x v="0"/>
    <n v="6179109"/>
    <x v="1"/>
    <s v="Connected"/>
    <s v="No"/>
    <x v="0"/>
    <x v="2"/>
    <m/>
    <x v="0"/>
  </r>
  <r>
    <x v="698"/>
    <d v="2026-06-07T21:44:30"/>
    <x v="4"/>
    <x v="2"/>
    <x v="2"/>
    <n v="7596246"/>
    <x v="1"/>
    <s v="Connected"/>
    <s v="No"/>
    <x v="1"/>
    <x v="2"/>
    <m/>
    <x v="0"/>
  </r>
  <r>
    <x v="699"/>
    <d v="2026-06-08T03:10:16"/>
    <x v="5"/>
    <x v="1"/>
    <x v="2"/>
    <n v="10750619"/>
    <x v="1"/>
    <s v="Not Connected"/>
    <s v="Yes"/>
    <x v="0"/>
    <x v="0"/>
    <m/>
    <x v="3"/>
  </r>
  <r>
    <x v="700"/>
    <d v="2026-06-08T08:36:02"/>
    <x v="5"/>
    <x v="2"/>
    <x v="0"/>
    <n v="3372778"/>
    <x v="2"/>
    <s v="Not Connected"/>
    <s v="No"/>
    <x v="0"/>
    <x v="2"/>
    <m/>
    <x v="1"/>
  </r>
  <r>
    <x v="701"/>
    <d v="2026-06-08T14:01:48"/>
    <x v="4"/>
    <x v="5"/>
    <x v="1"/>
    <n v="2457726"/>
    <x v="4"/>
    <s v="Connected"/>
    <s v="Yes"/>
    <x v="1"/>
    <x v="1"/>
    <n v="2400000"/>
    <x v="2"/>
  </r>
  <r>
    <x v="702"/>
    <d v="2026-06-08T19:27:34"/>
    <x v="0"/>
    <x v="5"/>
    <x v="0"/>
    <n v="3676315"/>
    <x v="0"/>
    <s v="Connected"/>
    <s v="Yes"/>
    <x v="0"/>
    <x v="0"/>
    <m/>
    <x v="1"/>
  </r>
  <r>
    <x v="703"/>
    <d v="2026-06-09T00:53:20"/>
    <x v="4"/>
    <x v="1"/>
    <x v="0"/>
    <n v="3868277"/>
    <x v="4"/>
    <s v="Connected"/>
    <s v="No"/>
    <x v="0"/>
    <x v="2"/>
    <m/>
    <x v="1"/>
  </r>
  <r>
    <x v="704"/>
    <d v="2026-06-09T06:19:06"/>
    <x v="4"/>
    <x v="5"/>
    <x v="2"/>
    <n v="8425767"/>
    <x v="4"/>
    <s v="Connected"/>
    <s v="Yes"/>
    <x v="1"/>
    <x v="1"/>
    <n v="8100000"/>
    <x v="3"/>
  </r>
  <r>
    <x v="705"/>
    <d v="2026-06-09T11:44:52"/>
    <x v="1"/>
    <x v="0"/>
    <x v="1"/>
    <n v="6564372"/>
    <x v="4"/>
    <s v="Connected"/>
    <s v="Yes"/>
    <x v="1"/>
    <x v="0"/>
    <m/>
    <x v="0"/>
  </r>
  <r>
    <x v="706"/>
    <d v="2026-06-09T17:10:38"/>
    <x v="0"/>
    <x v="3"/>
    <x v="0"/>
    <n v="5793513"/>
    <x v="0"/>
    <s v="Connected"/>
    <s v="Yes"/>
    <x v="1"/>
    <x v="0"/>
    <m/>
    <x v="0"/>
  </r>
  <r>
    <x v="707"/>
    <d v="2026-06-09T22:36:24"/>
    <x v="2"/>
    <x v="0"/>
    <x v="0"/>
    <n v="5558303"/>
    <x v="2"/>
    <s v="Not Connected"/>
    <s v="Yes"/>
    <x v="0"/>
    <x v="0"/>
    <m/>
    <x v="0"/>
  </r>
  <r>
    <x v="708"/>
    <d v="2026-06-10T04:02:10"/>
    <x v="0"/>
    <x v="3"/>
    <x v="0"/>
    <n v="4913462"/>
    <x v="5"/>
    <s v="Connected"/>
    <s v="Yes"/>
    <x v="0"/>
    <x v="0"/>
    <m/>
    <x v="1"/>
  </r>
  <r>
    <x v="709"/>
    <d v="2026-06-10T09:27:56"/>
    <x v="3"/>
    <x v="3"/>
    <x v="0"/>
    <n v="4783461"/>
    <x v="4"/>
    <s v="Not Connected"/>
    <s v="No"/>
    <x v="0"/>
    <x v="1"/>
    <n v="4700000"/>
    <x v="1"/>
  </r>
  <r>
    <x v="710"/>
    <d v="2026-06-10T14:53:42"/>
    <x v="2"/>
    <x v="0"/>
    <x v="2"/>
    <n v="6278104"/>
    <x v="4"/>
    <s v="Connected"/>
    <s v="No"/>
    <x v="0"/>
    <x v="2"/>
    <m/>
    <x v="0"/>
  </r>
  <r>
    <x v="711"/>
    <d v="2026-06-10T20:19:28"/>
    <x v="3"/>
    <x v="0"/>
    <x v="0"/>
    <n v="3287360"/>
    <x v="2"/>
    <s v="Not Connected"/>
    <s v="No"/>
    <x v="0"/>
    <x v="2"/>
    <m/>
    <x v="1"/>
  </r>
  <r>
    <x v="712"/>
    <d v="2026-06-11T01:45:14"/>
    <x v="5"/>
    <x v="4"/>
    <x v="0"/>
    <n v="3597578"/>
    <x v="5"/>
    <s v="Connected"/>
    <s v="Yes"/>
    <x v="0"/>
    <x v="0"/>
    <m/>
    <x v="1"/>
  </r>
  <r>
    <x v="713"/>
    <d v="2026-06-11T07:10:59"/>
    <x v="5"/>
    <x v="1"/>
    <x v="0"/>
    <n v="5495894"/>
    <x v="0"/>
    <s v="Connected"/>
    <s v="Yes"/>
    <x v="1"/>
    <x v="1"/>
    <n v="5300000"/>
    <x v="0"/>
  </r>
  <r>
    <x v="714"/>
    <d v="2026-06-11T12:36:45"/>
    <x v="0"/>
    <x v="0"/>
    <x v="0"/>
    <n v="3573340"/>
    <x v="3"/>
    <s v="Connected"/>
    <s v="Yes"/>
    <x v="0"/>
    <x v="0"/>
    <m/>
    <x v="1"/>
  </r>
  <r>
    <x v="715"/>
    <d v="2026-06-11T18:02:31"/>
    <x v="1"/>
    <x v="2"/>
    <x v="0"/>
    <n v="3880147"/>
    <x v="5"/>
    <s v="Not Connected"/>
    <s v="No"/>
    <x v="0"/>
    <x v="2"/>
    <m/>
    <x v="1"/>
  </r>
  <r>
    <x v="716"/>
    <d v="2026-06-11T23:28:17"/>
    <x v="2"/>
    <x v="0"/>
    <x v="2"/>
    <n v="11469471"/>
    <x v="0"/>
    <s v="Connected"/>
    <s v="Yes"/>
    <x v="0"/>
    <x v="0"/>
    <m/>
    <x v="3"/>
  </r>
  <r>
    <x v="717"/>
    <d v="2026-06-12T04:54:03"/>
    <x v="1"/>
    <x v="3"/>
    <x v="1"/>
    <n v="1843150"/>
    <x v="5"/>
    <s v="Connected"/>
    <s v="Yes"/>
    <x v="0"/>
    <x v="0"/>
    <m/>
    <x v="2"/>
  </r>
  <r>
    <x v="718"/>
    <d v="2026-06-12T10:19:49"/>
    <x v="4"/>
    <x v="2"/>
    <x v="1"/>
    <n v="2643489"/>
    <x v="5"/>
    <s v="Not Connected"/>
    <s v="No"/>
    <x v="0"/>
    <x v="2"/>
    <m/>
    <x v="2"/>
  </r>
  <r>
    <x v="719"/>
    <d v="2026-06-12T15:45:35"/>
    <x v="2"/>
    <x v="0"/>
    <x v="0"/>
    <n v="4769638"/>
    <x v="5"/>
    <s v="Not Connected"/>
    <s v="No"/>
    <x v="0"/>
    <x v="2"/>
    <m/>
    <x v="1"/>
  </r>
  <r>
    <x v="720"/>
    <d v="2026-06-12T21:11:21"/>
    <x v="1"/>
    <x v="0"/>
    <x v="1"/>
    <n v="4365104"/>
    <x v="5"/>
    <s v="Connected"/>
    <s v="No"/>
    <x v="0"/>
    <x v="2"/>
    <m/>
    <x v="1"/>
  </r>
  <r>
    <x v="721"/>
    <d v="2026-06-13T02:37:07"/>
    <x v="4"/>
    <x v="0"/>
    <x v="2"/>
    <n v="8406530"/>
    <x v="2"/>
    <s v="Connected"/>
    <s v="Yes"/>
    <x v="1"/>
    <x v="0"/>
    <m/>
    <x v="3"/>
  </r>
  <r>
    <x v="722"/>
    <d v="2026-06-13T08:02:53"/>
    <x v="4"/>
    <x v="5"/>
    <x v="2"/>
    <n v="11083237"/>
    <x v="5"/>
    <s v="Not Connected"/>
    <s v="No"/>
    <x v="0"/>
    <x v="2"/>
    <m/>
    <x v="3"/>
  </r>
  <r>
    <x v="723"/>
    <d v="2026-06-13T13:28:39"/>
    <x v="2"/>
    <x v="0"/>
    <x v="0"/>
    <n v="4769516"/>
    <x v="1"/>
    <s v="Not Connected"/>
    <s v="No"/>
    <x v="0"/>
    <x v="2"/>
    <m/>
    <x v="1"/>
  </r>
  <r>
    <x v="724"/>
    <d v="2026-06-13T18:54:25"/>
    <x v="5"/>
    <x v="3"/>
    <x v="0"/>
    <n v="6200116"/>
    <x v="5"/>
    <s v="Connected"/>
    <s v="Yes"/>
    <x v="0"/>
    <x v="0"/>
    <m/>
    <x v="0"/>
  </r>
  <r>
    <x v="725"/>
    <d v="2026-06-14T00:20:11"/>
    <x v="2"/>
    <x v="0"/>
    <x v="0"/>
    <n v="5792036"/>
    <x v="1"/>
    <s v="Connected"/>
    <s v="Yes"/>
    <x v="1"/>
    <x v="1"/>
    <n v="5600000"/>
    <x v="0"/>
  </r>
  <r>
    <x v="726"/>
    <d v="2026-06-14T05:45:57"/>
    <x v="4"/>
    <x v="1"/>
    <x v="0"/>
    <n v="3237330"/>
    <x v="5"/>
    <s v="Connected"/>
    <s v="No"/>
    <x v="1"/>
    <x v="1"/>
    <n v="3250000"/>
    <x v="1"/>
  </r>
  <r>
    <x v="727"/>
    <d v="2026-06-14T11:11:43"/>
    <x v="2"/>
    <x v="2"/>
    <x v="0"/>
    <n v="4637901"/>
    <x v="4"/>
    <s v="Not Connected"/>
    <s v="No"/>
    <x v="0"/>
    <x v="2"/>
    <m/>
    <x v="1"/>
  </r>
  <r>
    <x v="728"/>
    <d v="2026-06-14T16:37:29"/>
    <x v="0"/>
    <x v="4"/>
    <x v="0"/>
    <n v="6054317"/>
    <x v="5"/>
    <s v="Connected"/>
    <s v="No"/>
    <x v="0"/>
    <x v="2"/>
    <m/>
    <x v="0"/>
  </r>
  <r>
    <x v="729"/>
    <d v="2026-06-14T22:03:15"/>
    <x v="4"/>
    <x v="3"/>
    <x v="0"/>
    <n v="3698419"/>
    <x v="0"/>
    <s v="Connected"/>
    <s v="Yes"/>
    <x v="1"/>
    <x v="1"/>
    <n v="3700000"/>
    <x v="1"/>
  </r>
  <r>
    <x v="730"/>
    <d v="2026-06-15T03:29:01"/>
    <x v="4"/>
    <x v="5"/>
    <x v="2"/>
    <n v="11120269"/>
    <x v="2"/>
    <s v="Connected"/>
    <s v="Yes"/>
    <x v="0"/>
    <x v="0"/>
    <m/>
    <x v="3"/>
  </r>
  <r>
    <x v="731"/>
    <d v="2026-06-15T08:54:46"/>
    <x v="2"/>
    <x v="3"/>
    <x v="0"/>
    <n v="6410995"/>
    <x v="5"/>
    <s v="Not Connected"/>
    <s v="Yes"/>
    <x v="0"/>
    <x v="0"/>
    <m/>
    <x v="0"/>
  </r>
  <r>
    <x v="732"/>
    <d v="2026-06-15T14:20:32"/>
    <x v="3"/>
    <x v="1"/>
    <x v="0"/>
    <n v="4158343"/>
    <x v="0"/>
    <s v="Connected"/>
    <s v="Yes"/>
    <x v="0"/>
    <x v="0"/>
    <m/>
    <x v="1"/>
  </r>
  <r>
    <x v="733"/>
    <d v="2026-06-15T19:46:18"/>
    <x v="5"/>
    <x v="5"/>
    <x v="1"/>
    <n v="7674416"/>
    <x v="5"/>
    <s v="Connected"/>
    <s v="Yes"/>
    <x v="0"/>
    <x v="0"/>
    <m/>
    <x v="0"/>
  </r>
  <r>
    <x v="734"/>
    <d v="2026-06-16T01:12:04"/>
    <x v="0"/>
    <x v="0"/>
    <x v="1"/>
    <n v="2462454"/>
    <x v="5"/>
    <s v="Connected"/>
    <s v="Yes"/>
    <x v="1"/>
    <x v="1"/>
    <n v="2350000"/>
    <x v="2"/>
  </r>
  <r>
    <x v="735"/>
    <d v="2026-06-16T06:37:50"/>
    <x v="2"/>
    <x v="2"/>
    <x v="2"/>
    <n v="10041020"/>
    <x v="5"/>
    <s v="Not Connected"/>
    <s v="No"/>
    <x v="0"/>
    <x v="2"/>
    <m/>
    <x v="3"/>
  </r>
  <r>
    <x v="736"/>
    <d v="2026-06-16T12:03:36"/>
    <x v="0"/>
    <x v="1"/>
    <x v="1"/>
    <n v="3195000"/>
    <x v="1"/>
    <s v="Connected"/>
    <s v="Yes"/>
    <x v="1"/>
    <x v="0"/>
    <m/>
    <x v="1"/>
  </r>
  <r>
    <x v="737"/>
    <d v="2026-06-16T17:29:22"/>
    <x v="2"/>
    <x v="0"/>
    <x v="0"/>
    <n v="3063014"/>
    <x v="4"/>
    <s v="Connected"/>
    <s v="Yes"/>
    <x v="0"/>
    <x v="0"/>
    <m/>
    <x v="1"/>
  </r>
  <r>
    <x v="738"/>
    <d v="2026-06-16T22:55:08"/>
    <x v="5"/>
    <x v="5"/>
    <x v="1"/>
    <n v="7282703"/>
    <x v="2"/>
    <s v="Connected"/>
    <s v="Yes"/>
    <x v="0"/>
    <x v="1"/>
    <n v="7550000"/>
    <x v="0"/>
  </r>
  <r>
    <x v="739"/>
    <d v="2026-06-17T04:20:54"/>
    <x v="0"/>
    <x v="5"/>
    <x v="0"/>
    <n v="5970414"/>
    <x v="1"/>
    <s v="Not Connected"/>
    <s v="No"/>
    <x v="0"/>
    <x v="2"/>
    <m/>
    <x v="0"/>
  </r>
  <r>
    <x v="740"/>
    <d v="2026-06-17T09:46:40"/>
    <x v="5"/>
    <x v="4"/>
    <x v="0"/>
    <n v="4094697"/>
    <x v="2"/>
    <s v="Connected"/>
    <s v="No"/>
    <x v="1"/>
    <x v="2"/>
    <m/>
    <x v="1"/>
  </r>
  <r>
    <x v="741"/>
    <d v="2026-06-17T15:12:26"/>
    <x v="0"/>
    <x v="3"/>
    <x v="0"/>
    <n v="4822342"/>
    <x v="5"/>
    <s v="Connected"/>
    <s v="No"/>
    <x v="1"/>
    <x v="1"/>
    <n v="5000000"/>
    <x v="1"/>
  </r>
  <r>
    <x v="742"/>
    <d v="2026-06-17T20:38:12"/>
    <x v="2"/>
    <x v="4"/>
    <x v="0"/>
    <n v="5797683"/>
    <x v="2"/>
    <s v="Connected"/>
    <s v="Yes"/>
    <x v="1"/>
    <x v="0"/>
    <m/>
    <x v="0"/>
  </r>
  <r>
    <x v="743"/>
    <d v="2026-06-18T02:03:58"/>
    <x v="5"/>
    <x v="0"/>
    <x v="0"/>
    <n v="6041038"/>
    <x v="5"/>
    <s v="Not Connected"/>
    <s v="No"/>
    <x v="0"/>
    <x v="2"/>
    <m/>
    <x v="0"/>
  </r>
  <r>
    <x v="744"/>
    <d v="2026-06-18T07:29:44"/>
    <x v="0"/>
    <x v="5"/>
    <x v="2"/>
    <n v="11102353"/>
    <x v="5"/>
    <s v="Not Connected"/>
    <s v="Yes"/>
    <x v="0"/>
    <x v="0"/>
    <m/>
    <x v="3"/>
  </r>
  <r>
    <x v="745"/>
    <d v="2026-06-18T12:55:30"/>
    <x v="2"/>
    <x v="1"/>
    <x v="2"/>
    <n v="10537313"/>
    <x v="5"/>
    <s v="Not Connected"/>
    <s v="No"/>
    <x v="0"/>
    <x v="2"/>
    <m/>
    <x v="3"/>
  </r>
  <r>
    <x v="746"/>
    <d v="2026-06-18T18:21:16"/>
    <x v="0"/>
    <x v="0"/>
    <x v="2"/>
    <n v="16720059"/>
    <x v="5"/>
    <s v="Not Connected"/>
    <s v="No"/>
    <x v="0"/>
    <x v="1"/>
    <n v="16500000"/>
    <x v="4"/>
  </r>
  <r>
    <x v="747"/>
    <d v="2026-06-18T23:47:02"/>
    <x v="5"/>
    <x v="0"/>
    <x v="0"/>
    <n v="3346030"/>
    <x v="4"/>
    <s v="Connected"/>
    <s v="Yes"/>
    <x v="0"/>
    <x v="0"/>
    <m/>
    <x v="1"/>
  </r>
  <r>
    <x v="748"/>
    <d v="2026-06-19T05:12:48"/>
    <x v="1"/>
    <x v="4"/>
    <x v="1"/>
    <n v="2962538"/>
    <x v="2"/>
    <s v="Not Connected"/>
    <s v="No"/>
    <x v="0"/>
    <x v="2"/>
    <m/>
    <x v="2"/>
  </r>
  <r>
    <x v="749"/>
    <d v="2026-06-19T10:38:34"/>
    <x v="3"/>
    <x v="0"/>
    <x v="2"/>
    <n v="14026820"/>
    <x v="5"/>
    <s v="Connected"/>
    <s v="Yes"/>
    <x v="0"/>
    <x v="0"/>
    <m/>
    <x v="4"/>
  </r>
  <r>
    <x v="750"/>
    <d v="2026-06-19T16:04:19"/>
    <x v="4"/>
    <x v="1"/>
    <x v="0"/>
    <n v="3335513"/>
    <x v="2"/>
    <s v="Not Connected"/>
    <s v="No"/>
    <x v="0"/>
    <x v="2"/>
    <m/>
    <x v="1"/>
  </r>
  <r>
    <x v="751"/>
    <d v="2026-06-19T21:30:05"/>
    <x v="1"/>
    <x v="0"/>
    <x v="2"/>
    <n v="10169772"/>
    <x v="4"/>
    <s v="Connected"/>
    <s v="No"/>
    <x v="1"/>
    <x v="1"/>
    <n v="9950000"/>
    <x v="3"/>
  </r>
  <r>
    <x v="752"/>
    <d v="2026-06-20T02:55:51"/>
    <x v="3"/>
    <x v="0"/>
    <x v="0"/>
    <n v="3886388"/>
    <x v="0"/>
    <s v="Connected"/>
    <s v="Yes"/>
    <x v="0"/>
    <x v="0"/>
    <m/>
    <x v="1"/>
  </r>
  <r>
    <x v="753"/>
    <d v="2026-06-20T08:21:37"/>
    <x v="0"/>
    <x v="0"/>
    <x v="0"/>
    <n v="6453589"/>
    <x v="5"/>
    <s v="Not Connected"/>
    <s v="No"/>
    <x v="0"/>
    <x v="2"/>
    <m/>
    <x v="0"/>
  </r>
  <r>
    <x v="754"/>
    <d v="2026-06-20T13:47:23"/>
    <x v="4"/>
    <x v="2"/>
    <x v="1"/>
    <n v="2534104"/>
    <x v="1"/>
    <s v="Connected"/>
    <s v="Yes"/>
    <x v="1"/>
    <x v="0"/>
    <m/>
    <x v="2"/>
  </r>
  <r>
    <x v="755"/>
    <d v="2026-06-20T19:13:09"/>
    <x v="2"/>
    <x v="4"/>
    <x v="0"/>
    <n v="7344157"/>
    <x v="0"/>
    <s v="Connected"/>
    <s v="Yes"/>
    <x v="0"/>
    <x v="0"/>
    <m/>
    <x v="0"/>
  </r>
  <r>
    <x v="756"/>
    <d v="2026-06-21T00:38:55"/>
    <x v="3"/>
    <x v="2"/>
    <x v="0"/>
    <n v="5777881"/>
    <x v="4"/>
    <s v="Connected"/>
    <s v="No"/>
    <x v="0"/>
    <x v="2"/>
    <m/>
    <x v="0"/>
  </r>
  <r>
    <x v="757"/>
    <d v="2026-06-21T06:04:41"/>
    <x v="5"/>
    <x v="1"/>
    <x v="1"/>
    <n v="5815364"/>
    <x v="1"/>
    <s v="Connected"/>
    <s v="No"/>
    <x v="0"/>
    <x v="2"/>
    <m/>
    <x v="0"/>
  </r>
  <r>
    <x v="758"/>
    <d v="2026-06-21T11:30:27"/>
    <x v="2"/>
    <x v="0"/>
    <x v="2"/>
    <n v="7694000"/>
    <x v="5"/>
    <s v="Not Connected"/>
    <s v="No"/>
    <x v="0"/>
    <x v="2"/>
    <m/>
    <x v="0"/>
  </r>
  <r>
    <x v="759"/>
    <d v="2026-06-21T16:56:13"/>
    <x v="2"/>
    <x v="1"/>
    <x v="0"/>
    <n v="4972698"/>
    <x v="1"/>
    <s v="Connected"/>
    <s v="Yes"/>
    <x v="1"/>
    <x v="1"/>
    <n v="4800000"/>
    <x v="1"/>
  </r>
  <r>
    <x v="760"/>
    <d v="2026-06-21T22:21:59"/>
    <x v="4"/>
    <x v="1"/>
    <x v="0"/>
    <n v="3685493"/>
    <x v="4"/>
    <s v="Not Connected"/>
    <s v="No"/>
    <x v="0"/>
    <x v="2"/>
    <m/>
    <x v="1"/>
  </r>
  <r>
    <x v="761"/>
    <d v="2026-06-22T03:47:45"/>
    <x v="0"/>
    <x v="4"/>
    <x v="0"/>
    <n v="6493133"/>
    <x v="2"/>
    <s v="Connected"/>
    <s v="Yes"/>
    <x v="1"/>
    <x v="1"/>
    <n v="6550000"/>
    <x v="0"/>
  </r>
  <r>
    <x v="762"/>
    <d v="2026-06-22T09:13:31"/>
    <x v="0"/>
    <x v="0"/>
    <x v="2"/>
    <n v="8399771"/>
    <x v="5"/>
    <s v="Connected"/>
    <s v="Yes"/>
    <x v="1"/>
    <x v="0"/>
    <m/>
    <x v="3"/>
  </r>
  <r>
    <x v="763"/>
    <d v="2026-06-22T14:39:17"/>
    <x v="2"/>
    <x v="1"/>
    <x v="0"/>
    <n v="6261593"/>
    <x v="4"/>
    <s v="Not Connected"/>
    <s v="No"/>
    <x v="0"/>
    <x v="2"/>
    <m/>
    <x v="0"/>
  </r>
  <r>
    <x v="764"/>
    <d v="2026-06-22T20:05:03"/>
    <x v="4"/>
    <x v="0"/>
    <x v="0"/>
    <n v="3107573"/>
    <x v="4"/>
    <s v="Connected"/>
    <s v="Yes"/>
    <x v="1"/>
    <x v="1"/>
    <n v="3150000"/>
    <x v="1"/>
  </r>
  <r>
    <x v="765"/>
    <d v="2026-06-23T01:30:49"/>
    <x v="5"/>
    <x v="5"/>
    <x v="1"/>
    <n v="3269153"/>
    <x v="4"/>
    <s v="Not Connected"/>
    <s v="No"/>
    <x v="0"/>
    <x v="2"/>
    <m/>
    <x v="1"/>
  </r>
  <r>
    <x v="766"/>
    <d v="2026-06-23T06:56:35"/>
    <x v="2"/>
    <x v="3"/>
    <x v="0"/>
    <n v="5796718"/>
    <x v="4"/>
    <s v="Connected"/>
    <s v="Yes"/>
    <x v="1"/>
    <x v="1"/>
    <n v="5500000"/>
    <x v="0"/>
  </r>
  <r>
    <x v="767"/>
    <d v="2026-06-23T12:22:21"/>
    <x v="2"/>
    <x v="1"/>
    <x v="0"/>
    <n v="4200475"/>
    <x v="2"/>
    <s v="Connected"/>
    <s v="Yes"/>
    <x v="1"/>
    <x v="0"/>
    <m/>
    <x v="1"/>
  </r>
  <r>
    <x v="768"/>
    <d v="2026-06-23T17:48:06"/>
    <x v="0"/>
    <x v="5"/>
    <x v="0"/>
    <n v="8937840"/>
    <x v="1"/>
    <s v="Connected"/>
    <s v="Yes"/>
    <x v="1"/>
    <x v="0"/>
    <m/>
    <x v="3"/>
  </r>
  <r>
    <x v="769"/>
    <d v="2026-06-23T23:13:52"/>
    <x v="2"/>
    <x v="5"/>
    <x v="2"/>
    <n v="7346652"/>
    <x v="0"/>
    <s v="Connected"/>
    <s v="Yes"/>
    <x v="1"/>
    <x v="1"/>
    <n v="7400000"/>
    <x v="0"/>
  </r>
  <r>
    <x v="770"/>
    <d v="2026-06-24T04:39:38"/>
    <x v="4"/>
    <x v="1"/>
    <x v="0"/>
    <n v="8480408"/>
    <x v="5"/>
    <s v="Connected"/>
    <s v="Yes"/>
    <x v="0"/>
    <x v="0"/>
    <m/>
    <x v="3"/>
  </r>
  <r>
    <x v="771"/>
    <d v="2026-06-24T10:05:24"/>
    <x v="2"/>
    <x v="4"/>
    <x v="0"/>
    <n v="7301126"/>
    <x v="5"/>
    <s v="Not Connected"/>
    <s v="No"/>
    <x v="0"/>
    <x v="2"/>
    <m/>
    <x v="0"/>
  </r>
  <r>
    <x v="772"/>
    <d v="2026-06-24T15:31:10"/>
    <x v="4"/>
    <x v="2"/>
    <x v="1"/>
    <n v="1595790"/>
    <x v="1"/>
    <s v="Connected"/>
    <s v="Yes"/>
    <x v="0"/>
    <x v="0"/>
    <m/>
    <x v="2"/>
  </r>
  <r>
    <x v="773"/>
    <d v="2026-06-24T20:56:56"/>
    <x v="0"/>
    <x v="2"/>
    <x v="0"/>
    <n v="6268694"/>
    <x v="5"/>
    <s v="Connected"/>
    <s v="Yes"/>
    <x v="1"/>
    <x v="0"/>
    <m/>
    <x v="0"/>
  </r>
  <r>
    <x v="774"/>
    <d v="2026-06-25T02:22:42"/>
    <x v="2"/>
    <x v="4"/>
    <x v="0"/>
    <n v="6265798"/>
    <x v="5"/>
    <s v="Connected"/>
    <s v="Yes"/>
    <x v="1"/>
    <x v="1"/>
    <n v="5950000"/>
    <x v="0"/>
  </r>
  <r>
    <x v="775"/>
    <d v="2026-06-25T07:48:28"/>
    <x v="4"/>
    <x v="5"/>
    <x v="0"/>
    <n v="6259449"/>
    <x v="5"/>
    <s v="Connected"/>
    <s v="Yes"/>
    <x v="1"/>
    <x v="1"/>
    <n v="5750000"/>
    <x v="0"/>
  </r>
  <r>
    <x v="776"/>
    <d v="2026-06-25T13:14:14"/>
    <x v="0"/>
    <x v="3"/>
    <x v="0"/>
    <n v="7908278"/>
    <x v="2"/>
    <s v="Connected"/>
    <s v="No"/>
    <x v="0"/>
    <x v="2"/>
    <m/>
    <x v="0"/>
  </r>
  <r>
    <x v="777"/>
    <d v="2026-06-25T18:40:00"/>
    <x v="3"/>
    <x v="5"/>
    <x v="0"/>
    <n v="3279720"/>
    <x v="5"/>
    <s v="Not Connected"/>
    <s v="No"/>
    <x v="0"/>
    <x v="2"/>
    <m/>
    <x v="1"/>
  </r>
  <r>
    <x v="778"/>
    <d v="2026-06-26T00:05:46"/>
    <x v="3"/>
    <x v="0"/>
    <x v="0"/>
    <n v="4131960"/>
    <x v="2"/>
    <s v="Not Connected"/>
    <s v="Yes"/>
    <x v="0"/>
    <x v="0"/>
    <m/>
    <x v="1"/>
  </r>
  <r>
    <x v="779"/>
    <d v="2026-06-26T05:31:32"/>
    <x v="3"/>
    <x v="4"/>
    <x v="0"/>
    <n v="5331869"/>
    <x v="5"/>
    <s v="Not Connected"/>
    <s v="Yes"/>
    <x v="0"/>
    <x v="0"/>
    <m/>
    <x v="0"/>
  </r>
  <r>
    <x v="780"/>
    <d v="2026-06-26T10:57:18"/>
    <x v="3"/>
    <x v="0"/>
    <x v="0"/>
    <n v="3022490"/>
    <x v="0"/>
    <s v="Connected"/>
    <s v="Yes"/>
    <x v="0"/>
    <x v="0"/>
    <m/>
    <x v="1"/>
  </r>
  <r>
    <x v="781"/>
    <d v="2026-06-26T16:23:04"/>
    <x v="5"/>
    <x v="2"/>
    <x v="1"/>
    <n v="2105108"/>
    <x v="2"/>
    <s v="Connected"/>
    <s v="Yes"/>
    <x v="1"/>
    <x v="0"/>
    <m/>
    <x v="2"/>
  </r>
  <r>
    <x v="782"/>
    <d v="2026-06-26T21:48:50"/>
    <x v="0"/>
    <x v="1"/>
    <x v="1"/>
    <n v="3001540"/>
    <x v="5"/>
    <s v="Not Connected"/>
    <s v="No"/>
    <x v="0"/>
    <x v="2"/>
    <m/>
    <x v="1"/>
  </r>
  <r>
    <x v="783"/>
    <d v="2026-06-27T03:14:36"/>
    <x v="0"/>
    <x v="3"/>
    <x v="2"/>
    <n v="8812580"/>
    <x v="2"/>
    <s v="Connected"/>
    <s v="Yes"/>
    <x v="0"/>
    <x v="0"/>
    <m/>
    <x v="3"/>
  </r>
  <r>
    <x v="784"/>
    <d v="2026-06-27T08:40:22"/>
    <x v="4"/>
    <x v="3"/>
    <x v="1"/>
    <n v="3063966"/>
    <x v="4"/>
    <s v="Connected"/>
    <s v="Yes"/>
    <x v="1"/>
    <x v="0"/>
    <m/>
    <x v="1"/>
  </r>
  <r>
    <x v="785"/>
    <d v="2026-06-27T14:06:08"/>
    <x v="1"/>
    <x v="2"/>
    <x v="0"/>
    <n v="4380642"/>
    <x v="2"/>
    <s v="Connected"/>
    <s v="Yes"/>
    <x v="0"/>
    <x v="0"/>
    <m/>
    <x v="1"/>
  </r>
  <r>
    <x v="786"/>
    <d v="2026-06-27T19:31:54"/>
    <x v="3"/>
    <x v="3"/>
    <x v="1"/>
    <n v="2691890"/>
    <x v="4"/>
    <s v="Connected"/>
    <s v="Yes"/>
    <x v="1"/>
    <x v="1"/>
    <n v="2700000"/>
    <x v="2"/>
  </r>
  <r>
    <x v="787"/>
    <d v="2026-06-28T00:57:39"/>
    <x v="5"/>
    <x v="3"/>
    <x v="0"/>
    <n v="3795379"/>
    <x v="4"/>
    <s v="Not Connected"/>
    <s v="Yes"/>
    <x v="0"/>
    <x v="0"/>
    <m/>
    <x v="1"/>
  </r>
  <r>
    <x v="788"/>
    <d v="2026-06-28T06:23:25"/>
    <x v="5"/>
    <x v="0"/>
    <x v="1"/>
    <n v="2804397"/>
    <x v="2"/>
    <s v="Connected"/>
    <s v="No"/>
    <x v="0"/>
    <x v="2"/>
    <m/>
    <x v="2"/>
  </r>
  <r>
    <x v="789"/>
    <d v="2026-06-28T11:49:11"/>
    <x v="1"/>
    <x v="1"/>
    <x v="1"/>
    <n v="2406395"/>
    <x v="1"/>
    <s v="Not Connected"/>
    <s v="Yes"/>
    <x v="0"/>
    <x v="0"/>
    <m/>
    <x v="2"/>
  </r>
  <r>
    <x v="790"/>
    <d v="2026-06-28T17:14:57"/>
    <x v="4"/>
    <x v="0"/>
    <x v="2"/>
    <n v="6336430"/>
    <x v="5"/>
    <s v="Connected"/>
    <s v="No"/>
    <x v="1"/>
    <x v="1"/>
    <n v="6350000"/>
    <x v="0"/>
  </r>
  <r>
    <x v="791"/>
    <d v="2026-06-28T22:40:43"/>
    <x v="3"/>
    <x v="3"/>
    <x v="1"/>
    <n v="6944607"/>
    <x v="2"/>
    <s v="Connected"/>
    <s v="No"/>
    <x v="0"/>
    <x v="2"/>
    <m/>
    <x v="0"/>
  </r>
  <r>
    <x v="792"/>
    <d v="2026-06-29T04:06:29"/>
    <x v="5"/>
    <x v="1"/>
    <x v="2"/>
    <n v="10807601"/>
    <x v="1"/>
    <s v="Not Connected"/>
    <s v="No"/>
    <x v="0"/>
    <x v="2"/>
    <m/>
    <x v="3"/>
  </r>
  <r>
    <x v="793"/>
    <d v="2026-06-29T09:32:15"/>
    <x v="3"/>
    <x v="3"/>
    <x v="0"/>
    <n v="5684686"/>
    <x v="1"/>
    <s v="Connected"/>
    <s v="Yes"/>
    <x v="1"/>
    <x v="0"/>
    <m/>
    <x v="0"/>
  </r>
  <r>
    <x v="794"/>
    <d v="2026-06-29T14:58:01"/>
    <x v="4"/>
    <x v="0"/>
    <x v="0"/>
    <n v="5350983"/>
    <x v="5"/>
    <s v="Connected"/>
    <s v="Yes"/>
    <x v="0"/>
    <x v="0"/>
    <m/>
    <x v="0"/>
  </r>
  <r>
    <x v="795"/>
    <d v="2026-06-29T20:23:47"/>
    <x v="2"/>
    <x v="0"/>
    <x v="2"/>
    <n v="10972478"/>
    <x v="1"/>
    <s v="Connected"/>
    <s v="No"/>
    <x v="0"/>
    <x v="2"/>
    <m/>
    <x v="3"/>
  </r>
  <r>
    <x v="796"/>
    <d v="2026-06-30T01:49:33"/>
    <x v="1"/>
    <x v="3"/>
    <x v="0"/>
    <n v="4187018"/>
    <x v="3"/>
    <s v="Connected"/>
    <s v="No"/>
    <x v="0"/>
    <x v="2"/>
    <m/>
    <x v="1"/>
  </r>
  <r>
    <x v="797"/>
    <d v="2026-06-30T07:15:19"/>
    <x v="5"/>
    <x v="0"/>
    <x v="2"/>
    <n v="11717676"/>
    <x v="1"/>
    <s v="Not Connected"/>
    <s v="Yes"/>
    <x v="0"/>
    <x v="0"/>
    <m/>
    <x v="3"/>
  </r>
  <r>
    <x v="798"/>
    <d v="2026-06-30T12:41:05"/>
    <x v="3"/>
    <x v="0"/>
    <x v="1"/>
    <n v="4144338"/>
    <x v="1"/>
    <s v="Connected"/>
    <s v="No"/>
    <x v="0"/>
    <x v="2"/>
    <m/>
    <x v="1"/>
  </r>
  <r>
    <x v="799"/>
    <d v="2026-06-30T18:06:51"/>
    <x v="1"/>
    <x v="0"/>
    <x v="0"/>
    <n v="4153276"/>
    <x v="4"/>
    <s v="Not Connected"/>
    <s v="No"/>
    <x v="0"/>
    <x v="2"/>
    <m/>
    <x v="1"/>
  </r>
  <r>
    <x v="800"/>
    <d v="2026-06-30T23:32:37"/>
    <x v="3"/>
    <x v="2"/>
    <x v="2"/>
    <n v="6573881"/>
    <x v="2"/>
    <s v="Not Connected"/>
    <s v="No"/>
    <x v="0"/>
    <x v="2"/>
    <m/>
    <x v="0"/>
  </r>
  <r>
    <x v="801"/>
    <d v="2026-07-01T04:58:23"/>
    <x v="4"/>
    <x v="3"/>
    <x v="1"/>
    <n v="7102362"/>
    <x v="1"/>
    <s v="Connected"/>
    <s v="No"/>
    <x v="0"/>
    <x v="2"/>
    <m/>
    <x v="0"/>
  </r>
  <r>
    <x v="802"/>
    <d v="2026-07-01T10:24:09"/>
    <x v="5"/>
    <x v="5"/>
    <x v="1"/>
    <n v="2817931"/>
    <x v="1"/>
    <s v="Not Connected"/>
    <s v="No"/>
    <x v="0"/>
    <x v="2"/>
    <m/>
    <x v="2"/>
  </r>
  <r>
    <x v="803"/>
    <d v="2026-07-01T15:49:55"/>
    <x v="3"/>
    <x v="5"/>
    <x v="1"/>
    <n v="2141621"/>
    <x v="0"/>
    <s v="Connected"/>
    <s v="Yes"/>
    <x v="0"/>
    <x v="0"/>
    <m/>
    <x v="2"/>
  </r>
  <r>
    <x v="804"/>
    <d v="2026-07-01T21:15:41"/>
    <x v="5"/>
    <x v="5"/>
    <x v="0"/>
    <n v="5757362"/>
    <x v="4"/>
    <s v="Connected"/>
    <s v="No"/>
    <x v="1"/>
    <x v="1"/>
    <n v="5600000"/>
    <x v="0"/>
  </r>
  <r>
    <x v="805"/>
    <d v="2026-07-02T02:41:26"/>
    <x v="2"/>
    <x v="4"/>
    <x v="1"/>
    <n v="4676645"/>
    <x v="5"/>
    <s v="Connected"/>
    <s v="No"/>
    <x v="0"/>
    <x v="2"/>
    <m/>
    <x v="1"/>
  </r>
  <r>
    <x v="806"/>
    <d v="2026-07-02T08:07:12"/>
    <x v="1"/>
    <x v="3"/>
    <x v="2"/>
    <n v="8293673"/>
    <x v="5"/>
    <s v="Connected"/>
    <s v="No"/>
    <x v="1"/>
    <x v="1"/>
    <n v="8200000"/>
    <x v="3"/>
  </r>
  <r>
    <x v="807"/>
    <d v="2026-07-02T13:32:58"/>
    <x v="1"/>
    <x v="0"/>
    <x v="0"/>
    <n v="4949765"/>
    <x v="1"/>
    <s v="Not Connected"/>
    <s v="Yes"/>
    <x v="0"/>
    <x v="0"/>
    <m/>
    <x v="1"/>
  </r>
  <r>
    <x v="808"/>
    <d v="2026-07-02T18:58:44"/>
    <x v="5"/>
    <x v="0"/>
    <x v="0"/>
    <n v="5598590"/>
    <x v="5"/>
    <s v="Not Connected"/>
    <s v="No"/>
    <x v="0"/>
    <x v="2"/>
    <m/>
    <x v="0"/>
  </r>
  <r>
    <x v="809"/>
    <d v="2026-07-03T00:24:30"/>
    <x v="4"/>
    <x v="0"/>
    <x v="2"/>
    <n v="6426888"/>
    <x v="1"/>
    <s v="Connected"/>
    <s v="Yes"/>
    <x v="1"/>
    <x v="0"/>
    <m/>
    <x v="0"/>
  </r>
  <r>
    <x v="810"/>
    <d v="2026-07-03T05:50:16"/>
    <x v="1"/>
    <x v="3"/>
    <x v="0"/>
    <n v="7410156"/>
    <x v="0"/>
    <s v="Connected"/>
    <s v="No"/>
    <x v="1"/>
    <x v="1"/>
    <n v="7750000"/>
    <x v="0"/>
  </r>
  <r>
    <x v="811"/>
    <d v="2026-07-03T11:16:02"/>
    <x v="2"/>
    <x v="4"/>
    <x v="2"/>
    <n v="8763329"/>
    <x v="5"/>
    <s v="Connected"/>
    <s v="Yes"/>
    <x v="0"/>
    <x v="1"/>
    <n v="8750000"/>
    <x v="3"/>
  </r>
  <r>
    <x v="812"/>
    <d v="2026-07-03T16:41:48"/>
    <x v="4"/>
    <x v="0"/>
    <x v="2"/>
    <n v="10228783"/>
    <x v="2"/>
    <s v="Connected"/>
    <s v="No"/>
    <x v="0"/>
    <x v="2"/>
    <m/>
    <x v="3"/>
  </r>
  <r>
    <x v="813"/>
    <d v="2026-07-03T22:07:34"/>
    <x v="1"/>
    <x v="0"/>
    <x v="0"/>
    <n v="5292039"/>
    <x v="1"/>
    <s v="Connected"/>
    <s v="Yes"/>
    <x v="1"/>
    <x v="1"/>
    <n v="5300000"/>
    <x v="0"/>
  </r>
  <r>
    <x v="814"/>
    <d v="2026-07-04T03:33:20"/>
    <x v="2"/>
    <x v="0"/>
    <x v="2"/>
    <n v="6614673"/>
    <x v="2"/>
    <s v="Connected"/>
    <s v="Yes"/>
    <x v="1"/>
    <x v="0"/>
    <m/>
    <x v="0"/>
  </r>
  <r>
    <x v="815"/>
    <d v="2026-07-04T08:59:06"/>
    <x v="5"/>
    <x v="2"/>
    <x v="2"/>
    <n v="8755659"/>
    <x v="2"/>
    <s v="Connected"/>
    <s v="Yes"/>
    <x v="1"/>
    <x v="1"/>
    <n v="8150000"/>
    <x v="3"/>
  </r>
  <r>
    <x v="816"/>
    <d v="2026-07-04T14:24:52"/>
    <x v="3"/>
    <x v="5"/>
    <x v="0"/>
    <n v="5254086"/>
    <x v="5"/>
    <s v="Not Connected"/>
    <s v="No"/>
    <x v="0"/>
    <x v="2"/>
    <m/>
    <x v="0"/>
  </r>
  <r>
    <x v="817"/>
    <d v="2026-07-04T19:50:38"/>
    <x v="0"/>
    <x v="4"/>
    <x v="0"/>
    <n v="3835488"/>
    <x v="4"/>
    <s v="Connected"/>
    <s v="Yes"/>
    <x v="0"/>
    <x v="0"/>
    <m/>
    <x v="1"/>
  </r>
  <r>
    <x v="818"/>
    <d v="2026-07-05T01:16:24"/>
    <x v="4"/>
    <x v="3"/>
    <x v="0"/>
    <n v="4974719"/>
    <x v="5"/>
    <s v="Not Connected"/>
    <s v="Yes"/>
    <x v="0"/>
    <x v="0"/>
    <m/>
    <x v="1"/>
  </r>
  <r>
    <x v="819"/>
    <d v="2026-07-05T06:42:10"/>
    <x v="0"/>
    <x v="5"/>
    <x v="0"/>
    <n v="5225572"/>
    <x v="0"/>
    <s v="Connected"/>
    <s v="No"/>
    <x v="0"/>
    <x v="2"/>
    <m/>
    <x v="0"/>
  </r>
  <r>
    <x v="820"/>
    <d v="2026-07-05T12:07:56"/>
    <x v="2"/>
    <x v="0"/>
    <x v="3"/>
    <n v="2838563"/>
    <x v="0"/>
    <s v="Connected"/>
    <s v="Yes"/>
    <x v="0"/>
    <x v="0"/>
    <m/>
    <x v="2"/>
  </r>
  <r>
    <x v="821"/>
    <d v="2026-07-05T17:33:42"/>
    <x v="4"/>
    <x v="0"/>
    <x v="0"/>
    <n v="4021911"/>
    <x v="1"/>
    <s v="Not Connected"/>
    <s v="No"/>
    <x v="0"/>
    <x v="2"/>
    <m/>
    <x v="1"/>
  </r>
  <r>
    <x v="822"/>
    <d v="2026-07-05T22:59:28"/>
    <x v="0"/>
    <x v="3"/>
    <x v="2"/>
    <n v="11665356"/>
    <x v="1"/>
    <s v="Connected"/>
    <s v="No"/>
    <x v="0"/>
    <x v="2"/>
    <m/>
    <x v="3"/>
  </r>
  <r>
    <x v="823"/>
    <d v="2026-07-06T04:25:14"/>
    <x v="0"/>
    <x v="4"/>
    <x v="0"/>
    <n v="7771210"/>
    <x v="1"/>
    <s v="Not Connected"/>
    <s v="No"/>
    <x v="0"/>
    <x v="1"/>
    <n v="7300000"/>
    <x v="0"/>
  </r>
  <r>
    <x v="824"/>
    <d v="2026-07-06T09:50:59"/>
    <x v="5"/>
    <x v="3"/>
    <x v="0"/>
    <n v="6297305"/>
    <x v="2"/>
    <s v="Not Connected"/>
    <s v="No"/>
    <x v="0"/>
    <x v="1"/>
    <n v="6050000"/>
    <x v="0"/>
  </r>
  <r>
    <x v="825"/>
    <d v="2026-07-06T15:16:45"/>
    <x v="1"/>
    <x v="1"/>
    <x v="1"/>
    <n v="2914906"/>
    <x v="1"/>
    <s v="Connected"/>
    <s v="No"/>
    <x v="0"/>
    <x v="2"/>
    <m/>
    <x v="2"/>
  </r>
  <r>
    <x v="826"/>
    <d v="2026-07-06T20:42:31"/>
    <x v="0"/>
    <x v="0"/>
    <x v="2"/>
    <n v="12421774"/>
    <x v="1"/>
    <s v="Not Connected"/>
    <s v="No"/>
    <x v="0"/>
    <x v="2"/>
    <m/>
    <x v="4"/>
  </r>
  <r>
    <x v="827"/>
    <d v="2026-07-07T02:08:17"/>
    <x v="0"/>
    <x v="2"/>
    <x v="0"/>
    <n v="3368863"/>
    <x v="1"/>
    <s v="Not Connected"/>
    <s v="Yes"/>
    <x v="0"/>
    <x v="0"/>
    <m/>
    <x v="1"/>
  </r>
  <r>
    <x v="828"/>
    <d v="2026-07-07T07:34:03"/>
    <x v="2"/>
    <x v="4"/>
    <x v="0"/>
    <n v="3697974"/>
    <x v="5"/>
    <s v="Connected"/>
    <s v="No"/>
    <x v="0"/>
    <x v="2"/>
    <m/>
    <x v="1"/>
  </r>
  <r>
    <x v="829"/>
    <d v="2026-07-07T12:59:49"/>
    <x v="5"/>
    <x v="5"/>
    <x v="0"/>
    <n v="4607450"/>
    <x v="2"/>
    <s v="Connected"/>
    <s v="No"/>
    <x v="0"/>
    <x v="2"/>
    <m/>
    <x v="1"/>
  </r>
  <r>
    <x v="830"/>
    <d v="2026-07-07T18:25:35"/>
    <x v="0"/>
    <x v="2"/>
    <x v="0"/>
    <n v="3072095"/>
    <x v="5"/>
    <s v="Not Connected"/>
    <s v="No"/>
    <x v="0"/>
    <x v="2"/>
    <m/>
    <x v="1"/>
  </r>
  <r>
    <x v="831"/>
    <d v="2026-07-07T23:51:21"/>
    <x v="5"/>
    <x v="3"/>
    <x v="2"/>
    <n v="11217893"/>
    <x v="4"/>
    <s v="Not Connected"/>
    <s v="Yes"/>
    <x v="0"/>
    <x v="0"/>
    <m/>
    <x v="3"/>
  </r>
  <r>
    <x v="832"/>
    <d v="2026-07-08T05:17:07"/>
    <x v="4"/>
    <x v="1"/>
    <x v="0"/>
    <n v="6441984"/>
    <x v="5"/>
    <s v="Connected"/>
    <s v="Yes"/>
    <x v="0"/>
    <x v="0"/>
    <m/>
    <x v="0"/>
  </r>
  <r>
    <x v="833"/>
    <d v="2026-07-08T10:42:53"/>
    <x v="4"/>
    <x v="4"/>
    <x v="0"/>
    <n v="4626203"/>
    <x v="5"/>
    <s v="Connected"/>
    <s v="Yes"/>
    <x v="1"/>
    <x v="0"/>
    <m/>
    <x v="1"/>
  </r>
  <r>
    <x v="834"/>
    <d v="2026-07-08T16:08:39"/>
    <x v="5"/>
    <x v="4"/>
    <x v="0"/>
    <n v="4618543"/>
    <x v="4"/>
    <s v="Not Connected"/>
    <s v="Yes"/>
    <x v="0"/>
    <x v="0"/>
    <m/>
    <x v="1"/>
  </r>
  <r>
    <x v="835"/>
    <d v="2026-07-08T21:34:25"/>
    <x v="5"/>
    <x v="3"/>
    <x v="1"/>
    <n v="3575611"/>
    <x v="3"/>
    <s v="Connected"/>
    <s v="Yes"/>
    <x v="1"/>
    <x v="1"/>
    <n v="3550000"/>
    <x v="1"/>
  </r>
  <r>
    <x v="836"/>
    <d v="2026-07-09T03:00:11"/>
    <x v="1"/>
    <x v="0"/>
    <x v="1"/>
    <n v="1955433"/>
    <x v="2"/>
    <s v="Connected"/>
    <s v="No"/>
    <x v="0"/>
    <x v="2"/>
    <m/>
    <x v="2"/>
  </r>
  <r>
    <x v="837"/>
    <d v="2026-07-09T08:25:57"/>
    <x v="0"/>
    <x v="5"/>
    <x v="0"/>
    <n v="4447307"/>
    <x v="5"/>
    <s v="Not Connected"/>
    <s v="No"/>
    <x v="0"/>
    <x v="2"/>
    <m/>
    <x v="1"/>
  </r>
  <r>
    <x v="838"/>
    <d v="2026-07-09T13:51:43"/>
    <x v="3"/>
    <x v="2"/>
    <x v="2"/>
    <n v="7146204"/>
    <x v="5"/>
    <s v="Not Connected"/>
    <s v="No"/>
    <x v="0"/>
    <x v="2"/>
    <m/>
    <x v="0"/>
  </r>
  <r>
    <x v="839"/>
    <d v="2026-07-09T19:17:29"/>
    <x v="3"/>
    <x v="0"/>
    <x v="0"/>
    <n v="6475176"/>
    <x v="0"/>
    <s v="Connected"/>
    <s v="Yes"/>
    <x v="1"/>
    <x v="0"/>
    <m/>
    <x v="0"/>
  </r>
  <r>
    <x v="840"/>
    <d v="2026-07-10T00:43:15"/>
    <x v="4"/>
    <x v="5"/>
    <x v="0"/>
    <n v="4353849"/>
    <x v="1"/>
    <s v="Not Connected"/>
    <s v="Yes"/>
    <x v="0"/>
    <x v="0"/>
    <m/>
    <x v="1"/>
  </r>
  <r>
    <x v="841"/>
    <d v="2026-07-10T06:09:01"/>
    <x v="3"/>
    <x v="5"/>
    <x v="2"/>
    <n v="8139826"/>
    <x v="5"/>
    <s v="Not Connected"/>
    <s v="No"/>
    <x v="0"/>
    <x v="2"/>
    <m/>
    <x v="3"/>
  </r>
  <r>
    <x v="842"/>
    <d v="2026-07-10T11:34:46"/>
    <x v="4"/>
    <x v="5"/>
    <x v="1"/>
    <n v="1791975"/>
    <x v="0"/>
    <s v="Connected"/>
    <s v="Yes"/>
    <x v="0"/>
    <x v="0"/>
    <m/>
    <x v="2"/>
  </r>
  <r>
    <x v="843"/>
    <d v="2026-07-10T17:00:32"/>
    <x v="1"/>
    <x v="3"/>
    <x v="1"/>
    <n v="3431437"/>
    <x v="2"/>
    <s v="Connected"/>
    <s v="No"/>
    <x v="1"/>
    <x v="1"/>
    <n v="3500000"/>
    <x v="1"/>
  </r>
  <r>
    <x v="844"/>
    <d v="2026-07-10T22:26:18"/>
    <x v="4"/>
    <x v="2"/>
    <x v="2"/>
    <n v="14877449"/>
    <x v="3"/>
    <s v="Connected"/>
    <s v="Yes"/>
    <x v="1"/>
    <x v="1"/>
    <n v="14300000"/>
    <x v="4"/>
  </r>
  <r>
    <x v="845"/>
    <d v="2026-07-11T03:52:04"/>
    <x v="5"/>
    <x v="0"/>
    <x v="0"/>
    <n v="5867373"/>
    <x v="0"/>
    <s v="Not Connected"/>
    <s v="Yes"/>
    <x v="0"/>
    <x v="0"/>
    <m/>
    <x v="0"/>
  </r>
  <r>
    <x v="846"/>
    <d v="2026-07-11T09:17:50"/>
    <x v="4"/>
    <x v="0"/>
    <x v="2"/>
    <n v="8365766"/>
    <x v="0"/>
    <s v="Connected"/>
    <s v="Yes"/>
    <x v="1"/>
    <x v="0"/>
    <m/>
    <x v="3"/>
  </r>
  <r>
    <x v="847"/>
    <d v="2026-07-11T14:43:36"/>
    <x v="1"/>
    <x v="0"/>
    <x v="0"/>
    <n v="3517733"/>
    <x v="5"/>
    <s v="Connected"/>
    <s v="No"/>
    <x v="1"/>
    <x v="1"/>
    <n v="3400000"/>
    <x v="1"/>
  </r>
  <r>
    <x v="848"/>
    <d v="2026-07-11T20:09:22"/>
    <x v="5"/>
    <x v="2"/>
    <x v="2"/>
    <n v="10304054"/>
    <x v="5"/>
    <s v="Connected"/>
    <s v="No"/>
    <x v="1"/>
    <x v="2"/>
    <m/>
    <x v="3"/>
  </r>
  <r>
    <x v="849"/>
    <d v="2026-07-12T01:35:08"/>
    <x v="3"/>
    <x v="3"/>
    <x v="0"/>
    <n v="4776453"/>
    <x v="4"/>
    <s v="Not Connected"/>
    <s v="Yes"/>
    <x v="0"/>
    <x v="0"/>
    <m/>
    <x v="1"/>
  </r>
  <r>
    <x v="850"/>
    <d v="2026-07-12T07:00:54"/>
    <x v="4"/>
    <x v="5"/>
    <x v="2"/>
    <n v="9845802"/>
    <x v="4"/>
    <s v="Connected"/>
    <s v="No"/>
    <x v="0"/>
    <x v="2"/>
    <m/>
    <x v="3"/>
  </r>
  <r>
    <x v="851"/>
    <d v="2026-07-12T12:26:40"/>
    <x v="2"/>
    <x v="4"/>
    <x v="0"/>
    <n v="8082702"/>
    <x v="1"/>
    <s v="Connected"/>
    <s v="No"/>
    <x v="0"/>
    <x v="2"/>
    <m/>
    <x v="3"/>
  </r>
  <r>
    <x v="852"/>
    <d v="2026-07-12T17:52:26"/>
    <x v="0"/>
    <x v="2"/>
    <x v="0"/>
    <n v="6190993"/>
    <x v="1"/>
    <s v="Connected"/>
    <s v="No"/>
    <x v="0"/>
    <x v="1"/>
    <n v="5900000"/>
    <x v="0"/>
  </r>
  <r>
    <x v="853"/>
    <d v="2026-07-12T23:18:12"/>
    <x v="2"/>
    <x v="4"/>
    <x v="1"/>
    <n v="2121912"/>
    <x v="1"/>
    <s v="Not Connected"/>
    <s v="No"/>
    <x v="0"/>
    <x v="2"/>
    <m/>
    <x v="2"/>
  </r>
  <r>
    <x v="854"/>
    <d v="2026-07-13T04:43:58"/>
    <x v="0"/>
    <x v="2"/>
    <x v="0"/>
    <n v="4017497"/>
    <x v="4"/>
    <s v="Connected"/>
    <s v="Yes"/>
    <x v="1"/>
    <x v="0"/>
    <m/>
    <x v="1"/>
  </r>
  <r>
    <x v="855"/>
    <d v="2026-07-13T10:09:44"/>
    <x v="4"/>
    <x v="0"/>
    <x v="0"/>
    <n v="6142318"/>
    <x v="5"/>
    <s v="Connected"/>
    <s v="Yes"/>
    <x v="0"/>
    <x v="0"/>
    <m/>
    <x v="0"/>
  </r>
  <r>
    <x v="856"/>
    <d v="2026-07-13T15:35:30"/>
    <x v="4"/>
    <x v="4"/>
    <x v="0"/>
    <n v="3985976"/>
    <x v="1"/>
    <s v="Connected"/>
    <s v="Yes"/>
    <x v="0"/>
    <x v="0"/>
    <m/>
    <x v="1"/>
  </r>
  <r>
    <x v="857"/>
    <d v="2026-07-13T21:01:16"/>
    <x v="5"/>
    <x v="1"/>
    <x v="0"/>
    <n v="4273989"/>
    <x v="4"/>
    <s v="Not Connected"/>
    <s v="Yes"/>
    <x v="0"/>
    <x v="0"/>
    <m/>
    <x v="1"/>
  </r>
  <r>
    <x v="858"/>
    <d v="2026-07-14T02:27:02"/>
    <x v="5"/>
    <x v="4"/>
    <x v="0"/>
    <n v="5574603"/>
    <x v="2"/>
    <s v="Connected"/>
    <s v="Yes"/>
    <x v="1"/>
    <x v="0"/>
    <m/>
    <x v="0"/>
  </r>
  <r>
    <x v="859"/>
    <d v="2026-07-14T07:52:48"/>
    <x v="4"/>
    <x v="3"/>
    <x v="0"/>
    <n v="4363133"/>
    <x v="5"/>
    <s v="Connected"/>
    <s v="No"/>
    <x v="1"/>
    <x v="2"/>
    <m/>
    <x v="1"/>
  </r>
  <r>
    <x v="860"/>
    <d v="2026-07-14T13:18:34"/>
    <x v="2"/>
    <x v="4"/>
    <x v="1"/>
    <n v="1690285"/>
    <x v="4"/>
    <s v="Connected"/>
    <s v="No"/>
    <x v="0"/>
    <x v="2"/>
    <m/>
    <x v="2"/>
  </r>
  <r>
    <x v="861"/>
    <d v="2026-07-14T18:44:19"/>
    <x v="5"/>
    <x v="3"/>
    <x v="0"/>
    <n v="3113978"/>
    <x v="2"/>
    <s v="Not Connected"/>
    <s v="No"/>
    <x v="0"/>
    <x v="2"/>
    <m/>
    <x v="1"/>
  </r>
  <r>
    <x v="862"/>
    <d v="2026-07-15T00:10:05"/>
    <x v="5"/>
    <x v="0"/>
    <x v="1"/>
    <n v="1603864"/>
    <x v="1"/>
    <s v="Connected"/>
    <s v="Yes"/>
    <x v="1"/>
    <x v="1"/>
    <n v="1550000"/>
    <x v="2"/>
  </r>
  <r>
    <x v="863"/>
    <d v="2026-07-15T05:35:51"/>
    <x v="5"/>
    <x v="1"/>
    <x v="2"/>
    <n v="6394295"/>
    <x v="5"/>
    <s v="Not Connected"/>
    <s v="No"/>
    <x v="0"/>
    <x v="2"/>
    <m/>
    <x v="0"/>
  </r>
  <r>
    <x v="864"/>
    <d v="2026-07-15T11:01:37"/>
    <x v="5"/>
    <x v="2"/>
    <x v="0"/>
    <n v="3448648"/>
    <x v="1"/>
    <s v="Not Connected"/>
    <s v="No"/>
    <x v="0"/>
    <x v="2"/>
    <m/>
    <x v="1"/>
  </r>
  <r>
    <x v="865"/>
    <d v="2026-07-15T16:27:23"/>
    <x v="5"/>
    <x v="2"/>
    <x v="2"/>
    <n v="8437587"/>
    <x v="1"/>
    <s v="Connected"/>
    <s v="No"/>
    <x v="0"/>
    <x v="2"/>
    <m/>
    <x v="3"/>
  </r>
  <r>
    <x v="866"/>
    <d v="2026-07-15T21:53:09"/>
    <x v="4"/>
    <x v="0"/>
    <x v="0"/>
    <n v="5555812"/>
    <x v="0"/>
    <s v="Connected"/>
    <s v="Yes"/>
    <x v="0"/>
    <x v="0"/>
    <m/>
    <x v="0"/>
  </r>
  <r>
    <x v="867"/>
    <d v="2026-07-16T03:18:55"/>
    <x v="4"/>
    <x v="0"/>
    <x v="2"/>
    <n v="7771503"/>
    <x v="5"/>
    <s v="Connected"/>
    <s v="No"/>
    <x v="1"/>
    <x v="2"/>
    <m/>
    <x v="0"/>
  </r>
  <r>
    <x v="868"/>
    <d v="2026-07-16T08:44:41"/>
    <x v="2"/>
    <x v="0"/>
    <x v="0"/>
    <n v="6755494"/>
    <x v="4"/>
    <s v="Connected"/>
    <s v="Yes"/>
    <x v="1"/>
    <x v="0"/>
    <m/>
    <x v="0"/>
  </r>
  <r>
    <x v="869"/>
    <d v="2026-07-16T14:10:27"/>
    <x v="1"/>
    <x v="3"/>
    <x v="0"/>
    <n v="6313936"/>
    <x v="5"/>
    <s v="Connected"/>
    <s v="No"/>
    <x v="1"/>
    <x v="2"/>
    <m/>
    <x v="0"/>
  </r>
  <r>
    <x v="870"/>
    <d v="2026-07-16T19:36:13"/>
    <x v="0"/>
    <x v="4"/>
    <x v="1"/>
    <n v="2247948"/>
    <x v="1"/>
    <s v="Connected"/>
    <s v="Yes"/>
    <x v="0"/>
    <x v="1"/>
    <n v="2350000"/>
    <x v="2"/>
  </r>
  <r>
    <x v="871"/>
    <d v="2026-07-17T01:01:59"/>
    <x v="0"/>
    <x v="0"/>
    <x v="1"/>
    <n v="2728312"/>
    <x v="4"/>
    <s v="Not Connected"/>
    <s v="No"/>
    <x v="0"/>
    <x v="2"/>
    <m/>
    <x v="2"/>
  </r>
  <r>
    <x v="872"/>
    <d v="2026-07-17T06:27:45"/>
    <x v="3"/>
    <x v="1"/>
    <x v="1"/>
    <n v="2967217"/>
    <x v="1"/>
    <s v="Connected"/>
    <s v="Yes"/>
    <x v="0"/>
    <x v="0"/>
    <m/>
    <x v="2"/>
  </r>
  <r>
    <x v="873"/>
    <d v="2026-07-17T11:53:31"/>
    <x v="5"/>
    <x v="4"/>
    <x v="0"/>
    <n v="5787234"/>
    <x v="1"/>
    <s v="Not Connected"/>
    <s v="No"/>
    <x v="0"/>
    <x v="2"/>
    <m/>
    <x v="0"/>
  </r>
  <r>
    <x v="874"/>
    <d v="2026-07-17T17:19:17"/>
    <x v="4"/>
    <x v="3"/>
    <x v="2"/>
    <n v="8756813"/>
    <x v="5"/>
    <s v="Connected"/>
    <s v="No"/>
    <x v="0"/>
    <x v="2"/>
    <m/>
    <x v="3"/>
  </r>
  <r>
    <x v="875"/>
    <d v="2026-07-17T22:45:03"/>
    <x v="4"/>
    <x v="1"/>
    <x v="0"/>
    <n v="4804959"/>
    <x v="1"/>
    <s v="Connected"/>
    <s v="No"/>
    <x v="0"/>
    <x v="2"/>
    <m/>
    <x v="1"/>
  </r>
  <r>
    <x v="876"/>
    <d v="2026-07-18T04:10:49"/>
    <x v="3"/>
    <x v="1"/>
    <x v="0"/>
    <n v="4670957"/>
    <x v="4"/>
    <s v="Not Connected"/>
    <s v="Yes"/>
    <x v="0"/>
    <x v="0"/>
    <m/>
    <x v="1"/>
  </r>
  <r>
    <x v="877"/>
    <d v="2026-07-18T09:36:35"/>
    <x v="3"/>
    <x v="1"/>
    <x v="0"/>
    <n v="4410808"/>
    <x v="1"/>
    <s v="Connected"/>
    <s v="Yes"/>
    <x v="1"/>
    <x v="1"/>
    <n v="4400000"/>
    <x v="1"/>
  </r>
  <r>
    <x v="878"/>
    <d v="2026-07-18T15:02:21"/>
    <x v="4"/>
    <x v="5"/>
    <x v="2"/>
    <n v="8521651"/>
    <x v="0"/>
    <s v="Connected"/>
    <s v="Yes"/>
    <x v="0"/>
    <x v="0"/>
    <m/>
    <x v="3"/>
  </r>
  <r>
    <x v="879"/>
    <d v="2026-07-18T20:28:06"/>
    <x v="0"/>
    <x v="1"/>
    <x v="0"/>
    <n v="8373205"/>
    <x v="4"/>
    <s v="Connected"/>
    <s v="No"/>
    <x v="0"/>
    <x v="2"/>
    <m/>
    <x v="3"/>
  </r>
  <r>
    <x v="880"/>
    <d v="2026-07-19T01:53:52"/>
    <x v="0"/>
    <x v="3"/>
    <x v="0"/>
    <n v="5316142"/>
    <x v="1"/>
    <s v="Connected"/>
    <s v="No"/>
    <x v="1"/>
    <x v="1"/>
    <n v="5000000"/>
    <x v="0"/>
  </r>
  <r>
    <x v="881"/>
    <d v="2026-07-19T07:19:38"/>
    <x v="3"/>
    <x v="2"/>
    <x v="1"/>
    <n v="3206252"/>
    <x v="5"/>
    <s v="Not Connected"/>
    <s v="Yes"/>
    <x v="0"/>
    <x v="0"/>
    <m/>
    <x v="1"/>
  </r>
  <r>
    <x v="882"/>
    <d v="2026-07-19T12:45:24"/>
    <x v="4"/>
    <x v="3"/>
    <x v="0"/>
    <n v="5987553"/>
    <x v="1"/>
    <s v="Connected"/>
    <s v="No"/>
    <x v="0"/>
    <x v="2"/>
    <m/>
    <x v="0"/>
  </r>
  <r>
    <x v="883"/>
    <d v="2026-07-19T18:11:10"/>
    <x v="4"/>
    <x v="4"/>
    <x v="0"/>
    <n v="3830326"/>
    <x v="2"/>
    <s v="Connected"/>
    <s v="Yes"/>
    <x v="0"/>
    <x v="0"/>
    <m/>
    <x v="1"/>
  </r>
  <r>
    <x v="884"/>
    <d v="2026-07-19T23:36:56"/>
    <x v="2"/>
    <x v="0"/>
    <x v="0"/>
    <n v="4818904"/>
    <x v="1"/>
    <s v="Not Connected"/>
    <s v="No"/>
    <x v="0"/>
    <x v="2"/>
    <m/>
    <x v="1"/>
  </r>
  <r>
    <x v="885"/>
    <d v="2026-07-20T05:02:42"/>
    <x v="4"/>
    <x v="1"/>
    <x v="1"/>
    <n v="3894802"/>
    <x v="2"/>
    <s v="Connected"/>
    <s v="No"/>
    <x v="0"/>
    <x v="2"/>
    <m/>
    <x v="1"/>
  </r>
  <r>
    <x v="886"/>
    <d v="2026-07-20T10:28:28"/>
    <x v="3"/>
    <x v="0"/>
    <x v="0"/>
    <n v="5314812"/>
    <x v="1"/>
    <s v="Not Connected"/>
    <s v="No"/>
    <x v="0"/>
    <x v="2"/>
    <m/>
    <x v="0"/>
  </r>
  <r>
    <x v="887"/>
    <d v="2026-07-20T15:54:14"/>
    <x v="0"/>
    <x v="0"/>
    <x v="0"/>
    <n v="4008314"/>
    <x v="2"/>
    <s v="Connected"/>
    <s v="No"/>
    <x v="0"/>
    <x v="2"/>
    <m/>
    <x v="1"/>
  </r>
  <r>
    <x v="888"/>
    <d v="2026-07-20T21:20:00"/>
    <x v="4"/>
    <x v="3"/>
    <x v="1"/>
    <n v="1938963"/>
    <x v="5"/>
    <s v="Not Connected"/>
    <s v="No"/>
    <x v="0"/>
    <x v="2"/>
    <m/>
    <x v="2"/>
  </r>
  <r>
    <x v="889"/>
    <d v="2026-07-21T02:45:46"/>
    <x v="0"/>
    <x v="2"/>
    <x v="1"/>
    <n v="5201905"/>
    <x v="0"/>
    <s v="Connected"/>
    <s v="No"/>
    <x v="1"/>
    <x v="2"/>
    <m/>
    <x v="0"/>
  </r>
  <r>
    <x v="890"/>
    <d v="2026-07-21T08:11:32"/>
    <x v="3"/>
    <x v="0"/>
    <x v="0"/>
    <n v="8602883"/>
    <x v="1"/>
    <s v="Connected"/>
    <s v="Yes"/>
    <x v="1"/>
    <x v="0"/>
    <m/>
    <x v="3"/>
  </r>
  <r>
    <x v="891"/>
    <d v="2026-07-21T13:37:18"/>
    <x v="2"/>
    <x v="5"/>
    <x v="2"/>
    <n v="7699660"/>
    <x v="1"/>
    <s v="Not Connected"/>
    <s v="No"/>
    <x v="0"/>
    <x v="2"/>
    <m/>
    <x v="0"/>
  </r>
  <r>
    <x v="892"/>
    <d v="2026-07-21T19:03:04"/>
    <x v="2"/>
    <x v="4"/>
    <x v="2"/>
    <n v="9328412"/>
    <x v="1"/>
    <s v="Connected"/>
    <s v="Yes"/>
    <x v="0"/>
    <x v="0"/>
    <m/>
    <x v="3"/>
  </r>
  <r>
    <x v="893"/>
    <d v="2026-07-22T00:28:50"/>
    <x v="0"/>
    <x v="0"/>
    <x v="2"/>
    <n v="13939984"/>
    <x v="1"/>
    <s v="Connected"/>
    <s v="No"/>
    <x v="1"/>
    <x v="2"/>
    <m/>
    <x v="4"/>
  </r>
  <r>
    <x v="894"/>
    <d v="2026-07-22T05:54:36"/>
    <x v="3"/>
    <x v="1"/>
    <x v="0"/>
    <n v="6069187"/>
    <x v="3"/>
    <s v="Connected"/>
    <s v="Yes"/>
    <x v="1"/>
    <x v="1"/>
    <n v="6150000"/>
    <x v="0"/>
  </r>
  <r>
    <x v="895"/>
    <d v="2026-07-22T11:20:22"/>
    <x v="0"/>
    <x v="3"/>
    <x v="1"/>
    <n v="2347405"/>
    <x v="5"/>
    <s v="Connected"/>
    <s v="Yes"/>
    <x v="1"/>
    <x v="1"/>
    <n v="2400000"/>
    <x v="2"/>
  </r>
  <r>
    <x v="896"/>
    <d v="2026-07-22T16:46:08"/>
    <x v="0"/>
    <x v="3"/>
    <x v="0"/>
    <n v="3828854"/>
    <x v="5"/>
    <s v="Not Connected"/>
    <s v="Yes"/>
    <x v="1"/>
    <x v="0"/>
    <m/>
    <x v="1"/>
  </r>
  <r>
    <x v="897"/>
    <d v="2026-07-22T22:11:54"/>
    <x v="2"/>
    <x v="0"/>
    <x v="0"/>
    <n v="8468922"/>
    <x v="4"/>
    <s v="Not Connected"/>
    <s v="Yes"/>
    <x v="0"/>
    <x v="0"/>
    <m/>
    <x v="3"/>
  </r>
  <r>
    <x v="898"/>
    <d v="2026-07-23T03:37:39"/>
    <x v="4"/>
    <x v="5"/>
    <x v="0"/>
    <n v="7882297"/>
    <x v="1"/>
    <s v="Connected"/>
    <s v="Yes"/>
    <x v="0"/>
    <x v="1"/>
    <n v="7950000"/>
    <x v="0"/>
  </r>
  <r>
    <x v="899"/>
    <d v="2026-07-23T09:03:25"/>
    <x v="4"/>
    <x v="4"/>
    <x v="0"/>
    <n v="3410226"/>
    <x v="4"/>
    <s v="Connected"/>
    <s v="No"/>
    <x v="0"/>
    <x v="2"/>
    <m/>
    <x v="1"/>
  </r>
  <r>
    <x v="900"/>
    <d v="2026-07-23T14:29:11"/>
    <x v="0"/>
    <x v="1"/>
    <x v="0"/>
    <n v="6235595"/>
    <x v="4"/>
    <s v="Connected"/>
    <s v="No"/>
    <x v="1"/>
    <x v="2"/>
    <m/>
    <x v="0"/>
  </r>
  <r>
    <x v="901"/>
    <d v="2026-07-23T19:54:57"/>
    <x v="4"/>
    <x v="0"/>
    <x v="2"/>
    <n v="9156736"/>
    <x v="1"/>
    <s v="Connected"/>
    <s v="Yes"/>
    <x v="1"/>
    <x v="0"/>
    <m/>
    <x v="3"/>
  </r>
  <r>
    <x v="902"/>
    <d v="2026-07-24T01:20:43"/>
    <x v="4"/>
    <x v="4"/>
    <x v="0"/>
    <n v="3131562"/>
    <x v="0"/>
    <s v="Not Connected"/>
    <s v="No"/>
    <x v="0"/>
    <x v="2"/>
    <m/>
    <x v="1"/>
  </r>
  <r>
    <x v="903"/>
    <d v="2026-07-24T06:46:29"/>
    <x v="3"/>
    <x v="0"/>
    <x v="0"/>
    <n v="3642510"/>
    <x v="1"/>
    <s v="Connected"/>
    <s v="No"/>
    <x v="0"/>
    <x v="2"/>
    <m/>
    <x v="1"/>
  </r>
  <r>
    <x v="904"/>
    <d v="2026-07-24T12:12:15"/>
    <x v="5"/>
    <x v="4"/>
    <x v="0"/>
    <n v="3258360"/>
    <x v="5"/>
    <s v="Connected"/>
    <s v="Yes"/>
    <x v="0"/>
    <x v="0"/>
    <m/>
    <x v="1"/>
  </r>
  <r>
    <x v="905"/>
    <d v="2026-07-24T17:38:01"/>
    <x v="2"/>
    <x v="0"/>
    <x v="0"/>
    <n v="3296794"/>
    <x v="2"/>
    <s v="Connected"/>
    <s v="No"/>
    <x v="1"/>
    <x v="1"/>
    <n v="3100000"/>
    <x v="1"/>
  </r>
  <r>
    <x v="906"/>
    <d v="2026-07-24T23:03:47"/>
    <x v="2"/>
    <x v="2"/>
    <x v="1"/>
    <n v="3628178"/>
    <x v="4"/>
    <s v="Not Connected"/>
    <s v="Yes"/>
    <x v="0"/>
    <x v="0"/>
    <m/>
    <x v="1"/>
  </r>
  <r>
    <x v="907"/>
    <d v="2026-07-25T04:29:33"/>
    <x v="0"/>
    <x v="5"/>
    <x v="0"/>
    <n v="4274535"/>
    <x v="1"/>
    <s v="Not Connected"/>
    <s v="No"/>
    <x v="0"/>
    <x v="2"/>
    <m/>
    <x v="1"/>
  </r>
  <r>
    <x v="908"/>
    <d v="2026-07-25T09:55:19"/>
    <x v="0"/>
    <x v="5"/>
    <x v="0"/>
    <n v="4488303"/>
    <x v="4"/>
    <s v="Connected"/>
    <s v="Yes"/>
    <x v="1"/>
    <x v="0"/>
    <m/>
    <x v="1"/>
  </r>
  <r>
    <x v="909"/>
    <d v="2026-07-25T15:21:05"/>
    <x v="0"/>
    <x v="0"/>
    <x v="0"/>
    <n v="6304934"/>
    <x v="5"/>
    <s v="Connected"/>
    <s v="No"/>
    <x v="0"/>
    <x v="2"/>
    <m/>
    <x v="0"/>
  </r>
  <r>
    <x v="910"/>
    <d v="2026-07-25T20:46:51"/>
    <x v="3"/>
    <x v="5"/>
    <x v="0"/>
    <n v="3463092"/>
    <x v="1"/>
    <s v="Not Connected"/>
    <s v="Yes"/>
    <x v="0"/>
    <x v="0"/>
    <m/>
    <x v="1"/>
  </r>
  <r>
    <x v="911"/>
    <d v="2026-07-26T02:12:37"/>
    <x v="0"/>
    <x v="2"/>
    <x v="0"/>
    <n v="5982527"/>
    <x v="0"/>
    <s v="Connected"/>
    <s v="Yes"/>
    <x v="1"/>
    <x v="1"/>
    <n v="5800000"/>
    <x v="0"/>
  </r>
  <r>
    <x v="912"/>
    <d v="2026-07-26T07:38:23"/>
    <x v="3"/>
    <x v="2"/>
    <x v="2"/>
    <n v="8060583"/>
    <x v="5"/>
    <s v="Connected"/>
    <s v="Yes"/>
    <x v="0"/>
    <x v="0"/>
    <m/>
    <x v="3"/>
  </r>
  <r>
    <x v="913"/>
    <d v="2026-07-26T13:04:09"/>
    <x v="5"/>
    <x v="5"/>
    <x v="1"/>
    <n v="4652301"/>
    <x v="1"/>
    <s v="Connected"/>
    <s v="Yes"/>
    <x v="1"/>
    <x v="0"/>
    <m/>
    <x v="1"/>
  </r>
  <r>
    <x v="914"/>
    <d v="2026-07-26T18:29:55"/>
    <x v="5"/>
    <x v="1"/>
    <x v="0"/>
    <n v="3440420"/>
    <x v="2"/>
    <s v="Connected"/>
    <s v="No"/>
    <x v="0"/>
    <x v="2"/>
    <m/>
    <x v="1"/>
  </r>
  <r>
    <x v="915"/>
    <d v="2026-07-26T23:55:41"/>
    <x v="5"/>
    <x v="3"/>
    <x v="2"/>
    <n v="13640028"/>
    <x v="3"/>
    <s v="Connected"/>
    <s v="Yes"/>
    <x v="0"/>
    <x v="0"/>
    <m/>
    <x v="4"/>
  </r>
  <r>
    <x v="916"/>
    <d v="2026-07-27T05:21:26"/>
    <x v="0"/>
    <x v="2"/>
    <x v="2"/>
    <n v="8654537"/>
    <x v="1"/>
    <s v="Connected"/>
    <s v="Yes"/>
    <x v="1"/>
    <x v="1"/>
    <n v="8100000"/>
    <x v="3"/>
  </r>
  <r>
    <x v="917"/>
    <d v="2026-07-27T10:47:12"/>
    <x v="1"/>
    <x v="1"/>
    <x v="1"/>
    <n v="2347929"/>
    <x v="4"/>
    <s v="Connected"/>
    <s v="Yes"/>
    <x v="0"/>
    <x v="0"/>
    <m/>
    <x v="2"/>
  </r>
  <r>
    <x v="918"/>
    <d v="2026-07-27T16:12:58"/>
    <x v="2"/>
    <x v="5"/>
    <x v="0"/>
    <n v="3624773"/>
    <x v="4"/>
    <s v="Connected"/>
    <s v="Yes"/>
    <x v="1"/>
    <x v="0"/>
    <m/>
    <x v="1"/>
  </r>
  <r>
    <x v="919"/>
    <d v="2026-07-27T21:38:44"/>
    <x v="4"/>
    <x v="5"/>
    <x v="0"/>
    <n v="8178333"/>
    <x v="0"/>
    <s v="Connected"/>
    <s v="Yes"/>
    <x v="0"/>
    <x v="1"/>
    <n v="8400000"/>
    <x v="3"/>
  </r>
  <r>
    <x v="920"/>
    <d v="2026-07-28T03:04:30"/>
    <x v="2"/>
    <x v="3"/>
    <x v="0"/>
    <n v="4587981"/>
    <x v="0"/>
    <s v="Connected"/>
    <s v="Yes"/>
    <x v="0"/>
    <x v="0"/>
    <m/>
    <x v="1"/>
  </r>
  <r>
    <x v="921"/>
    <d v="2026-07-28T08:30:16"/>
    <x v="5"/>
    <x v="0"/>
    <x v="2"/>
    <n v="6789313"/>
    <x v="5"/>
    <s v="Not Connected"/>
    <s v="No"/>
    <x v="0"/>
    <x v="2"/>
    <m/>
    <x v="0"/>
  </r>
  <r>
    <x v="922"/>
    <d v="2026-07-28T13:56:02"/>
    <x v="2"/>
    <x v="3"/>
    <x v="1"/>
    <n v="7495991"/>
    <x v="1"/>
    <s v="Connected"/>
    <s v="Yes"/>
    <x v="0"/>
    <x v="1"/>
    <n v="7550000"/>
    <x v="0"/>
  </r>
  <r>
    <x v="923"/>
    <d v="2026-07-28T19:21:48"/>
    <x v="2"/>
    <x v="5"/>
    <x v="0"/>
    <n v="6024961"/>
    <x v="1"/>
    <s v="Connected"/>
    <s v="Yes"/>
    <x v="0"/>
    <x v="0"/>
    <m/>
    <x v="0"/>
  </r>
  <r>
    <x v="924"/>
    <d v="2026-07-29T00:47:34"/>
    <x v="5"/>
    <x v="4"/>
    <x v="0"/>
    <n v="3831633"/>
    <x v="2"/>
    <s v="Connected"/>
    <s v="Yes"/>
    <x v="1"/>
    <x v="0"/>
    <m/>
    <x v="1"/>
  </r>
  <r>
    <x v="925"/>
    <d v="2026-07-29T06:13:20"/>
    <x v="4"/>
    <x v="0"/>
    <x v="1"/>
    <n v="4369972"/>
    <x v="4"/>
    <s v="Connected"/>
    <s v="Yes"/>
    <x v="0"/>
    <x v="0"/>
    <m/>
    <x v="1"/>
  </r>
  <r>
    <x v="926"/>
    <d v="2026-07-29T11:39:06"/>
    <x v="0"/>
    <x v="1"/>
    <x v="1"/>
    <n v="2336642"/>
    <x v="4"/>
    <s v="Connected"/>
    <s v="Yes"/>
    <x v="0"/>
    <x v="0"/>
    <m/>
    <x v="2"/>
  </r>
  <r>
    <x v="927"/>
    <d v="2026-07-29T17:04:52"/>
    <x v="5"/>
    <x v="1"/>
    <x v="1"/>
    <n v="5022500"/>
    <x v="3"/>
    <s v="Connected"/>
    <s v="Yes"/>
    <x v="1"/>
    <x v="0"/>
    <m/>
    <x v="0"/>
  </r>
  <r>
    <x v="928"/>
    <d v="2026-07-29T22:30:38"/>
    <x v="3"/>
    <x v="3"/>
    <x v="2"/>
    <n v="7634224"/>
    <x v="5"/>
    <s v="Connected"/>
    <s v="No"/>
    <x v="0"/>
    <x v="2"/>
    <m/>
    <x v="0"/>
  </r>
  <r>
    <x v="929"/>
    <d v="2026-07-30T03:56:24"/>
    <x v="0"/>
    <x v="0"/>
    <x v="0"/>
    <n v="7371906"/>
    <x v="5"/>
    <s v="Not Connected"/>
    <s v="Yes"/>
    <x v="0"/>
    <x v="0"/>
    <m/>
    <x v="0"/>
  </r>
  <r>
    <x v="930"/>
    <d v="2026-07-30T09:22:10"/>
    <x v="4"/>
    <x v="1"/>
    <x v="2"/>
    <n v="17334754"/>
    <x v="1"/>
    <s v="Connected"/>
    <s v="No"/>
    <x v="0"/>
    <x v="2"/>
    <m/>
    <x v="4"/>
  </r>
  <r>
    <x v="931"/>
    <d v="2026-07-30T14:47:56"/>
    <x v="2"/>
    <x v="1"/>
    <x v="2"/>
    <n v="11840183"/>
    <x v="1"/>
    <s v="Not Connected"/>
    <s v="No"/>
    <x v="0"/>
    <x v="2"/>
    <m/>
    <x v="3"/>
  </r>
  <r>
    <x v="932"/>
    <d v="2026-07-30T20:13:42"/>
    <x v="1"/>
    <x v="1"/>
    <x v="0"/>
    <n v="4495567"/>
    <x v="5"/>
    <s v="Connected"/>
    <s v="No"/>
    <x v="0"/>
    <x v="2"/>
    <m/>
    <x v="1"/>
  </r>
  <r>
    <x v="933"/>
    <d v="2026-07-31T01:39:28"/>
    <x v="5"/>
    <x v="3"/>
    <x v="0"/>
    <n v="4484416"/>
    <x v="5"/>
    <s v="Connected"/>
    <s v="Yes"/>
    <x v="1"/>
    <x v="0"/>
    <m/>
    <x v="1"/>
  </r>
  <r>
    <x v="934"/>
    <d v="2026-07-31T07:05:14"/>
    <x v="4"/>
    <x v="3"/>
    <x v="2"/>
    <n v="8396640"/>
    <x v="4"/>
    <s v="Connected"/>
    <s v="No"/>
    <x v="1"/>
    <x v="1"/>
    <n v="8300000"/>
    <x v="3"/>
  </r>
  <r>
    <x v="935"/>
    <d v="2026-07-31T12:30:59"/>
    <x v="0"/>
    <x v="4"/>
    <x v="0"/>
    <n v="3703335"/>
    <x v="0"/>
    <s v="Connected"/>
    <s v="Yes"/>
    <x v="0"/>
    <x v="0"/>
    <m/>
    <x v="1"/>
  </r>
  <r>
    <x v="936"/>
    <d v="2026-07-31T17:56:45"/>
    <x v="4"/>
    <x v="0"/>
    <x v="2"/>
    <n v="7925464"/>
    <x v="4"/>
    <s v="Not Connected"/>
    <s v="No"/>
    <x v="0"/>
    <x v="2"/>
    <m/>
    <x v="0"/>
  </r>
  <r>
    <x v="937"/>
    <d v="2026-07-31T23:22:31"/>
    <x v="1"/>
    <x v="4"/>
    <x v="2"/>
    <n v="8933798"/>
    <x v="4"/>
    <s v="Not Connected"/>
    <s v="Yes"/>
    <x v="0"/>
    <x v="0"/>
    <m/>
    <x v="3"/>
  </r>
  <r>
    <x v="938"/>
    <d v="2026-08-01T04:48:17"/>
    <x v="4"/>
    <x v="1"/>
    <x v="1"/>
    <n v="3800608"/>
    <x v="1"/>
    <s v="Connected"/>
    <s v="No"/>
    <x v="1"/>
    <x v="2"/>
    <m/>
    <x v="1"/>
  </r>
  <r>
    <x v="939"/>
    <d v="2026-08-01T10:14:03"/>
    <x v="5"/>
    <x v="0"/>
    <x v="0"/>
    <n v="4845579"/>
    <x v="2"/>
    <s v="Connected"/>
    <s v="Yes"/>
    <x v="1"/>
    <x v="0"/>
    <m/>
    <x v="1"/>
  </r>
  <r>
    <x v="940"/>
    <d v="2026-08-01T15:39:49"/>
    <x v="0"/>
    <x v="0"/>
    <x v="0"/>
    <n v="3902153"/>
    <x v="2"/>
    <s v="Not Connected"/>
    <s v="Yes"/>
    <x v="0"/>
    <x v="0"/>
    <m/>
    <x v="1"/>
  </r>
  <r>
    <x v="941"/>
    <d v="2026-08-01T21:05:35"/>
    <x v="5"/>
    <x v="5"/>
    <x v="2"/>
    <n v="9047572"/>
    <x v="4"/>
    <s v="Connected"/>
    <s v="No"/>
    <x v="0"/>
    <x v="2"/>
    <m/>
    <x v="3"/>
  </r>
  <r>
    <x v="942"/>
    <d v="2026-08-02T02:31:21"/>
    <x v="3"/>
    <x v="4"/>
    <x v="0"/>
    <n v="6427768"/>
    <x v="5"/>
    <s v="Not Connected"/>
    <s v="Yes"/>
    <x v="0"/>
    <x v="0"/>
    <m/>
    <x v="0"/>
  </r>
  <r>
    <x v="943"/>
    <d v="2026-08-02T07:57:07"/>
    <x v="2"/>
    <x v="3"/>
    <x v="2"/>
    <n v="7471816"/>
    <x v="5"/>
    <s v="Not Connected"/>
    <s v="Yes"/>
    <x v="0"/>
    <x v="0"/>
    <m/>
    <x v="0"/>
  </r>
  <r>
    <x v="944"/>
    <d v="2026-08-02T13:22:53"/>
    <x v="0"/>
    <x v="4"/>
    <x v="2"/>
    <n v="11646244"/>
    <x v="5"/>
    <s v="Not Connected"/>
    <s v="Yes"/>
    <x v="1"/>
    <x v="1"/>
    <n v="11250000"/>
    <x v="3"/>
  </r>
  <r>
    <x v="945"/>
    <d v="2026-08-02T18:48:39"/>
    <x v="4"/>
    <x v="1"/>
    <x v="0"/>
    <n v="6301737"/>
    <x v="4"/>
    <s v="Connected"/>
    <s v="No"/>
    <x v="1"/>
    <x v="2"/>
    <m/>
    <x v="0"/>
  </r>
  <r>
    <x v="946"/>
    <d v="2026-08-03T00:14:25"/>
    <x v="4"/>
    <x v="1"/>
    <x v="0"/>
    <n v="3333977"/>
    <x v="2"/>
    <s v="Connected"/>
    <s v="Yes"/>
    <x v="1"/>
    <x v="1"/>
    <n v="3150000"/>
    <x v="1"/>
  </r>
  <r>
    <x v="947"/>
    <d v="2026-08-03T05:40:11"/>
    <x v="1"/>
    <x v="0"/>
    <x v="0"/>
    <n v="8490243"/>
    <x v="0"/>
    <s v="Connected"/>
    <s v="Yes"/>
    <x v="1"/>
    <x v="1"/>
    <n v="7950000"/>
    <x v="3"/>
  </r>
  <r>
    <x v="948"/>
    <d v="2026-08-03T11:05:57"/>
    <x v="2"/>
    <x v="5"/>
    <x v="0"/>
    <n v="4596503"/>
    <x v="1"/>
    <s v="Not Connected"/>
    <s v="No"/>
    <x v="0"/>
    <x v="2"/>
    <m/>
    <x v="1"/>
  </r>
  <r>
    <x v="949"/>
    <d v="2026-08-03T16:31:43"/>
    <x v="3"/>
    <x v="5"/>
    <x v="1"/>
    <n v="3432207"/>
    <x v="2"/>
    <s v="Connected"/>
    <s v="No"/>
    <x v="0"/>
    <x v="2"/>
    <m/>
    <x v="1"/>
  </r>
  <r>
    <x v="950"/>
    <d v="2026-08-03T21:57:29"/>
    <x v="3"/>
    <x v="0"/>
    <x v="1"/>
    <n v="4527554"/>
    <x v="0"/>
    <s v="Connected"/>
    <s v="Yes"/>
    <x v="0"/>
    <x v="0"/>
    <m/>
    <x v="1"/>
  </r>
  <r>
    <x v="951"/>
    <d v="2026-08-04T03:23:15"/>
    <x v="3"/>
    <x v="0"/>
    <x v="2"/>
    <n v="10178084"/>
    <x v="1"/>
    <s v="Connected"/>
    <s v="Yes"/>
    <x v="0"/>
    <x v="0"/>
    <m/>
    <x v="3"/>
  </r>
  <r>
    <x v="952"/>
    <d v="2026-08-04T08:49:01"/>
    <x v="4"/>
    <x v="1"/>
    <x v="2"/>
    <n v="17876925"/>
    <x v="1"/>
    <s v="Connected"/>
    <s v="No"/>
    <x v="0"/>
    <x v="2"/>
    <m/>
    <x v="4"/>
  </r>
  <r>
    <x v="953"/>
    <d v="2026-08-04T14:14:46"/>
    <x v="1"/>
    <x v="3"/>
    <x v="0"/>
    <n v="4310786"/>
    <x v="0"/>
    <s v="Connected"/>
    <s v="Yes"/>
    <x v="1"/>
    <x v="0"/>
    <m/>
    <x v="1"/>
  </r>
  <r>
    <x v="954"/>
    <d v="2026-08-04T19:40:32"/>
    <x v="5"/>
    <x v="2"/>
    <x v="1"/>
    <n v="2031821"/>
    <x v="1"/>
    <s v="Connected"/>
    <s v="No"/>
    <x v="0"/>
    <x v="2"/>
    <m/>
    <x v="2"/>
  </r>
  <r>
    <x v="955"/>
    <d v="2026-08-05T01:06:18"/>
    <x v="0"/>
    <x v="2"/>
    <x v="2"/>
    <n v="7426548"/>
    <x v="0"/>
    <s v="Connected"/>
    <s v="No"/>
    <x v="0"/>
    <x v="2"/>
    <m/>
    <x v="0"/>
  </r>
  <r>
    <x v="956"/>
    <d v="2026-08-05T06:32:04"/>
    <x v="5"/>
    <x v="3"/>
    <x v="2"/>
    <n v="7846780"/>
    <x v="3"/>
    <s v="Connected"/>
    <s v="No"/>
    <x v="1"/>
    <x v="1"/>
    <n v="8200000"/>
    <x v="0"/>
  </r>
  <r>
    <x v="957"/>
    <d v="2026-08-05T11:57:50"/>
    <x v="4"/>
    <x v="5"/>
    <x v="1"/>
    <n v="1750231"/>
    <x v="4"/>
    <s v="Not Connected"/>
    <s v="No"/>
    <x v="0"/>
    <x v="2"/>
    <m/>
    <x v="2"/>
  </r>
  <r>
    <x v="958"/>
    <d v="2026-08-05T17:23:36"/>
    <x v="4"/>
    <x v="3"/>
    <x v="0"/>
    <n v="3541220"/>
    <x v="2"/>
    <s v="Connected"/>
    <s v="Yes"/>
    <x v="1"/>
    <x v="1"/>
    <n v="3350000"/>
    <x v="1"/>
  </r>
  <r>
    <x v="959"/>
    <d v="2026-08-05T22:49:22"/>
    <x v="2"/>
    <x v="4"/>
    <x v="1"/>
    <n v="2478935"/>
    <x v="2"/>
    <s v="Connected"/>
    <s v="Yes"/>
    <x v="1"/>
    <x v="0"/>
    <m/>
    <x v="2"/>
  </r>
  <r>
    <x v="960"/>
    <d v="2026-08-06T04:15:08"/>
    <x v="4"/>
    <x v="0"/>
    <x v="0"/>
    <n v="3032966"/>
    <x v="4"/>
    <s v="Not Connected"/>
    <s v="No"/>
    <x v="0"/>
    <x v="1"/>
    <n v="2800000"/>
    <x v="1"/>
  </r>
  <r>
    <x v="961"/>
    <d v="2026-08-06T09:40:54"/>
    <x v="3"/>
    <x v="5"/>
    <x v="0"/>
    <n v="3163639"/>
    <x v="1"/>
    <s v="Connected"/>
    <s v="Yes"/>
    <x v="0"/>
    <x v="0"/>
    <m/>
    <x v="1"/>
  </r>
  <r>
    <x v="962"/>
    <d v="2026-08-06T15:06:40"/>
    <x v="0"/>
    <x v="4"/>
    <x v="0"/>
    <n v="7591175"/>
    <x v="5"/>
    <s v="Connected"/>
    <s v="Yes"/>
    <x v="0"/>
    <x v="0"/>
    <m/>
    <x v="0"/>
  </r>
  <r>
    <x v="963"/>
    <d v="2026-08-06T20:32:26"/>
    <x v="0"/>
    <x v="5"/>
    <x v="1"/>
    <n v="5407015"/>
    <x v="1"/>
    <s v="Not Connected"/>
    <s v="No"/>
    <x v="0"/>
    <x v="2"/>
    <m/>
    <x v="0"/>
  </r>
  <r>
    <x v="964"/>
    <d v="2026-08-07T01:58:12"/>
    <x v="0"/>
    <x v="1"/>
    <x v="1"/>
    <n v="2347516"/>
    <x v="4"/>
    <s v="Connected"/>
    <s v="Yes"/>
    <x v="1"/>
    <x v="1"/>
    <n v="2450000"/>
    <x v="2"/>
  </r>
  <r>
    <x v="965"/>
    <d v="2026-08-07T07:23:58"/>
    <x v="0"/>
    <x v="1"/>
    <x v="2"/>
    <n v="8345156"/>
    <x v="5"/>
    <s v="Connected"/>
    <s v="No"/>
    <x v="0"/>
    <x v="2"/>
    <m/>
    <x v="3"/>
  </r>
  <r>
    <x v="966"/>
    <d v="2026-08-07T12:49:44"/>
    <x v="3"/>
    <x v="0"/>
    <x v="2"/>
    <n v="9571193"/>
    <x v="5"/>
    <s v="Connected"/>
    <s v="No"/>
    <x v="0"/>
    <x v="2"/>
    <m/>
    <x v="3"/>
  </r>
  <r>
    <x v="967"/>
    <d v="2026-08-07T18:15:30"/>
    <x v="0"/>
    <x v="5"/>
    <x v="2"/>
    <n v="7860371"/>
    <x v="5"/>
    <s v="Connected"/>
    <s v="No"/>
    <x v="0"/>
    <x v="2"/>
    <m/>
    <x v="0"/>
  </r>
  <r>
    <x v="968"/>
    <d v="2026-08-07T23:41:16"/>
    <x v="5"/>
    <x v="5"/>
    <x v="1"/>
    <n v="2987056"/>
    <x v="2"/>
    <s v="Not Connected"/>
    <s v="Yes"/>
    <x v="1"/>
    <x v="0"/>
    <m/>
    <x v="2"/>
  </r>
  <r>
    <x v="969"/>
    <d v="2026-08-08T05:07:02"/>
    <x v="5"/>
    <x v="0"/>
    <x v="0"/>
    <n v="4313804"/>
    <x v="3"/>
    <s v="Not Connected"/>
    <s v="No"/>
    <x v="0"/>
    <x v="1"/>
    <n v="4300000"/>
    <x v="1"/>
  </r>
  <r>
    <x v="970"/>
    <d v="2026-08-08T10:32:48"/>
    <x v="3"/>
    <x v="0"/>
    <x v="0"/>
    <n v="3787163"/>
    <x v="3"/>
    <s v="Connected"/>
    <s v="No"/>
    <x v="1"/>
    <x v="1"/>
    <n v="3900000"/>
    <x v="1"/>
  </r>
  <r>
    <x v="971"/>
    <d v="2026-08-08T15:58:34"/>
    <x v="1"/>
    <x v="4"/>
    <x v="0"/>
    <n v="3263749"/>
    <x v="1"/>
    <s v="Connected"/>
    <s v="Yes"/>
    <x v="0"/>
    <x v="0"/>
    <m/>
    <x v="1"/>
  </r>
  <r>
    <x v="972"/>
    <d v="2026-08-08T21:24:19"/>
    <x v="2"/>
    <x v="0"/>
    <x v="2"/>
    <n v="8260554"/>
    <x v="0"/>
    <s v="Connected"/>
    <s v="Yes"/>
    <x v="1"/>
    <x v="0"/>
    <m/>
    <x v="3"/>
  </r>
  <r>
    <x v="973"/>
    <d v="2026-08-09T02:50:05"/>
    <x v="0"/>
    <x v="1"/>
    <x v="2"/>
    <n v="8919008"/>
    <x v="2"/>
    <s v="Connected"/>
    <s v="No"/>
    <x v="0"/>
    <x v="2"/>
    <m/>
    <x v="3"/>
  </r>
  <r>
    <x v="974"/>
    <d v="2026-08-09T08:15:51"/>
    <x v="4"/>
    <x v="5"/>
    <x v="0"/>
    <n v="5923062"/>
    <x v="4"/>
    <s v="Connected"/>
    <s v="No"/>
    <x v="0"/>
    <x v="2"/>
    <m/>
    <x v="0"/>
  </r>
  <r>
    <x v="975"/>
    <d v="2026-08-09T13:41:37"/>
    <x v="0"/>
    <x v="2"/>
    <x v="0"/>
    <n v="3509394"/>
    <x v="4"/>
    <s v="Connected"/>
    <s v="Yes"/>
    <x v="0"/>
    <x v="0"/>
    <m/>
    <x v="1"/>
  </r>
  <r>
    <x v="976"/>
    <d v="2026-08-09T19:07:23"/>
    <x v="3"/>
    <x v="0"/>
    <x v="1"/>
    <n v="3544062"/>
    <x v="5"/>
    <s v="Connected"/>
    <s v="Yes"/>
    <x v="0"/>
    <x v="0"/>
    <m/>
    <x v="1"/>
  </r>
  <r>
    <x v="977"/>
    <d v="2026-08-10T00:33:09"/>
    <x v="4"/>
    <x v="5"/>
    <x v="0"/>
    <n v="4813560"/>
    <x v="0"/>
    <s v="Connected"/>
    <s v="Yes"/>
    <x v="0"/>
    <x v="0"/>
    <m/>
    <x v="1"/>
  </r>
  <r>
    <x v="978"/>
    <d v="2026-08-10T05:58:55"/>
    <x v="5"/>
    <x v="2"/>
    <x v="2"/>
    <n v="9084719"/>
    <x v="1"/>
    <s v="Connected"/>
    <s v="Yes"/>
    <x v="1"/>
    <x v="1"/>
    <n v="8400000"/>
    <x v="3"/>
  </r>
  <r>
    <x v="979"/>
    <d v="2026-08-10T11:24:41"/>
    <x v="3"/>
    <x v="4"/>
    <x v="1"/>
    <n v="3097207"/>
    <x v="1"/>
    <s v="Connected"/>
    <s v="No"/>
    <x v="1"/>
    <x v="2"/>
    <m/>
    <x v="1"/>
  </r>
  <r>
    <x v="980"/>
    <d v="2026-08-10T16:50:27"/>
    <x v="0"/>
    <x v="0"/>
    <x v="0"/>
    <n v="4907822"/>
    <x v="4"/>
    <s v="Connected"/>
    <s v="No"/>
    <x v="0"/>
    <x v="2"/>
    <m/>
    <x v="1"/>
  </r>
  <r>
    <x v="981"/>
    <d v="2026-08-10T22:16:13"/>
    <x v="2"/>
    <x v="4"/>
    <x v="0"/>
    <n v="4018725"/>
    <x v="1"/>
    <s v="Connected"/>
    <s v="Yes"/>
    <x v="1"/>
    <x v="0"/>
    <m/>
    <x v="1"/>
  </r>
  <r>
    <x v="982"/>
    <d v="2026-08-11T03:41:59"/>
    <x v="4"/>
    <x v="1"/>
    <x v="2"/>
    <n v="9269566"/>
    <x v="1"/>
    <s v="Connected"/>
    <s v="Yes"/>
    <x v="1"/>
    <x v="1"/>
    <n v="9200000"/>
    <x v="3"/>
  </r>
  <r>
    <x v="983"/>
    <d v="2026-08-11T09:07:45"/>
    <x v="4"/>
    <x v="1"/>
    <x v="1"/>
    <n v="2933710"/>
    <x v="4"/>
    <s v="Connected"/>
    <s v="Yes"/>
    <x v="1"/>
    <x v="1"/>
    <n v="2850000"/>
    <x v="2"/>
  </r>
  <r>
    <x v="984"/>
    <d v="2026-08-11T14:33:31"/>
    <x v="3"/>
    <x v="0"/>
    <x v="0"/>
    <n v="3020039"/>
    <x v="5"/>
    <s v="Not Connected"/>
    <s v="No"/>
    <x v="0"/>
    <x v="2"/>
    <m/>
    <x v="1"/>
  </r>
  <r>
    <x v="985"/>
    <d v="2026-08-11T19:59:17"/>
    <x v="5"/>
    <x v="0"/>
    <x v="1"/>
    <n v="2498899"/>
    <x v="2"/>
    <s v="Not Connected"/>
    <s v="No"/>
    <x v="0"/>
    <x v="1"/>
    <n v="2550000"/>
    <x v="2"/>
  </r>
  <r>
    <x v="986"/>
    <d v="2026-08-12T01:25:03"/>
    <x v="3"/>
    <x v="3"/>
    <x v="0"/>
    <n v="4607793"/>
    <x v="4"/>
    <s v="Not Connected"/>
    <s v="No"/>
    <x v="0"/>
    <x v="2"/>
    <m/>
    <x v="1"/>
  </r>
  <r>
    <x v="987"/>
    <d v="2026-08-12T06:50:49"/>
    <x v="5"/>
    <x v="1"/>
    <x v="0"/>
    <n v="4287116"/>
    <x v="4"/>
    <s v="Connected"/>
    <s v="Yes"/>
    <x v="0"/>
    <x v="0"/>
    <m/>
    <x v="1"/>
  </r>
  <r>
    <x v="988"/>
    <d v="2026-08-12T12:16:35"/>
    <x v="0"/>
    <x v="5"/>
    <x v="2"/>
    <n v="16205090"/>
    <x v="4"/>
    <s v="Connected"/>
    <s v="Yes"/>
    <x v="1"/>
    <x v="0"/>
    <m/>
    <x v="4"/>
  </r>
  <r>
    <x v="989"/>
    <d v="2026-08-12T17:42:21"/>
    <x v="2"/>
    <x v="3"/>
    <x v="1"/>
    <n v="2348389"/>
    <x v="4"/>
    <s v="Connected"/>
    <s v="Yes"/>
    <x v="1"/>
    <x v="1"/>
    <n v="2150000"/>
    <x v="2"/>
  </r>
  <r>
    <x v="990"/>
    <d v="2026-08-12T23:08:06"/>
    <x v="2"/>
    <x v="4"/>
    <x v="0"/>
    <n v="5358327"/>
    <x v="4"/>
    <s v="Not Connected"/>
    <s v="No"/>
    <x v="0"/>
    <x v="2"/>
    <m/>
    <x v="0"/>
  </r>
  <r>
    <x v="991"/>
    <d v="2026-08-13T04:33:52"/>
    <x v="3"/>
    <x v="0"/>
    <x v="1"/>
    <n v="5150654"/>
    <x v="4"/>
    <s v="Connected"/>
    <s v="Yes"/>
    <x v="0"/>
    <x v="0"/>
    <m/>
    <x v="0"/>
  </r>
  <r>
    <x v="992"/>
    <d v="2026-08-13T09:59:38"/>
    <x v="0"/>
    <x v="3"/>
    <x v="2"/>
    <n v="8488144"/>
    <x v="2"/>
    <s v="Not Connected"/>
    <s v="Yes"/>
    <x v="0"/>
    <x v="0"/>
    <m/>
    <x v="3"/>
  </r>
  <r>
    <x v="993"/>
    <d v="2026-08-13T15:25:24"/>
    <x v="3"/>
    <x v="0"/>
    <x v="0"/>
    <n v="5886827"/>
    <x v="2"/>
    <s v="Connected"/>
    <s v="Yes"/>
    <x v="0"/>
    <x v="0"/>
    <m/>
    <x v="0"/>
  </r>
  <r>
    <x v="994"/>
    <d v="2026-08-13T20:51:10"/>
    <x v="0"/>
    <x v="4"/>
    <x v="0"/>
    <n v="5891731"/>
    <x v="0"/>
    <s v="Not Connected"/>
    <s v="No"/>
    <x v="0"/>
    <x v="2"/>
    <m/>
    <x v="0"/>
  </r>
  <r>
    <x v="995"/>
    <d v="2026-08-14T02:16:56"/>
    <x v="4"/>
    <x v="3"/>
    <x v="1"/>
    <n v="2394235"/>
    <x v="5"/>
    <s v="Not Connected"/>
    <s v="No"/>
    <x v="0"/>
    <x v="2"/>
    <m/>
    <x v="2"/>
  </r>
  <r>
    <x v="996"/>
    <d v="2026-08-14T07:42:42"/>
    <x v="1"/>
    <x v="2"/>
    <x v="0"/>
    <n v="4886214"/>
    <x v="1"/>
    <s v="Connected"/>
    <s v="No"/>
    <x v="0"/>
    <x v="2"/>
    <m/>
    <x v="1"/>
  </r>
  <r>
    <x v="997"/>
    <d v="2026-08-14T13:08:28"/>
    <x v="4"/>
    <x v="0"/>
    <x v="0"/>
    <n v="3416690"/>
    <x v="0"/>
    <s v="Connected"/>
    <s v="No"/>
    <x v="0"/>
    <x v="2"/>
    <m/>
    <x v="1"/>
  </r>
  <r>
    <x v="998"/>
    <d v="2026-08-14T18:34:14"/>
    <x v="1"/>
    <x v="0"/>
    <x v="0"/>
    <n v="6652118"/>
    <x v="1"/>
    <s v="Connected"/>
    <s v="Yes"/>
    <x v="0"/>
    <x v="0"/>
    <m/>
    <x v="0"/>
  </r>
  <r>
    <x v="999"/>
    <d v="2026-08-15T00:00:00"/>
    <x v="5"/>
    <x v="5"/>
    <x v="1"/>
    <n v="4547486"/>
    <x v="5"/>
    <s v="Connected"/>
    <s v="Yes"/>
    <x v="0"/>
    <x v="0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5">
  <location ref="A2:E11" firstHeaderRow="1" firstDataRow="2" firstDataCol="1"/>
  <pivotFields count="13">
    <pivotField dataField="1" showAll="0"/>
    <pivotField numFmtId="164" showAll="0"/>
    <pivotField axis="axisRow" showAll="0">
      <items count="8">
        <item x="5"/>
        <item x="0"/>
        <item x="3"/>
        <item x="2"/>
        <item x="1"/>
        <item x="6"/>
        <item x="4"/>
        <item t="default"/>
      </items>
    </pivotField>
    <pivotField showAll="0"/>
    <pivotField showAll="0"/>
    <pivotField numFmtId="43"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Lead_ID" fld="0" subtotal="count" baseField="0" baseItem="0"/>
  </dataFields>
  <chartFormats count="3"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3">
  <location ref="A2:E8" firstHeaderRow="1" firstDataRow="2" firstDataCol="1"/>
  <pivotFields count="13">
    <pivotField dataField="1" showAll="0"/>
    <pivotField numFmtId="164"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numFmtId="43"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 defaultSubtota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Lead_ID" fld="0" subtotal="count" baseField="0" baseItem="0"/>
  </dataFields>
  <chartFormats count="15">
    <chartFormat chart="12" format="1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2" format="19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0" count="1" selected="0">
            <x v="0"/>
          </reference>
        </references>
      </pivotArea>
    </chartFormat>
    <chartFormat chart="12" format="20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0" count="1" selected="0">
            <x v="0"/>
          </reference>
        </references>
      </pivotArea>
    </chartFormat>
    <chartFormat chart="12" format="2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0"/>
          </reference>
        </references>
      </pivotArea>
    </chartFormat>
    <chartFormat chart="12" format="22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0" count="1" selected="0">
            <x v="0"/>
          </reference>
        </references>
      </pivotArea>
    </chartFormat>
    <chartFormat chart="12" format="2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2" format="24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0" count="1" selected="0">
            <x v="1"/>
          </reference>
        </references>
      </pivotArea>
    </chartFormat>
    <chartFormat chart="12" format="25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0" count="1" selected="0">
            <x v="1"/>
          </reference>
        </references>
      </pivotArea>
    </chartFormat>
    <chartFormat chart="12" format="26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1"/>
          </reference>
        </references>
      </pivotArea>
    </chartFormat>
    <chartFormat chart="12" format="27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0" count="1" selected="0">
            <x v="1"/>
          </reference>
        </references>
      </pivotArea>
    </chartFormat>
    <chartFormat chart="12" format="2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2" format="29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0" count="1" selected="0">
            <x v="2"/>
          </reference>
        </references>
      </pivotArea>
    </chartFormat>
    <chartFormat chart="12" format="30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0" count="1" selected="0">
            <x v="2"/>
          </reference>
        </references>
      </pivotArea>
    </chartFormat>
    <chartFormat chart="12" format="3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2"/>
          </reference>
        </references>
      </pivotArea>
    </chartFormat>
    <chartFormat chart="12" format="32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:E11" firstHeaderRow="1" firstDataRow="2" firstDataCol="1"/>
  <pivotFields count="13">
    <pivotField dataField="1" showAll="0"/>
    <pivotField numFmtId="164" showAll="0"/>
    <pivotField showAll="0"/>
    <pivotField axis="axisRow" showAll="0">
      <items count="13">
        <item m="1" x="8"/>
        <item m="1" x="9"/>
        <item m="1" x="11"/>
        <item x="5"/>
        <item m="1" x="10"/>
        <item m="1" x="7"/>
        <item x="6"/>
        <item x="0"/>
        <item x="1"/>
        <item x="2"/>
        <item x="3"/>
        <item x="4"/>
        <item t="default"/>
      </items>
    </pivotField>
    <pivotField showAll="0"/>
    <pivotField numFmtId="43"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 defaultSubtotal="0"/>
  </pivotFields>
  <rowFields count="1">
    <field x="3"/>
  </rowFields>
  <rowItems count="8">
    <i>
      <x v="3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Lead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2:E9" firstHeaderRow="1" firstDataRow="2" firstDataCol="1"/>
  <pivotFields count="13">
    <pivotField dataField="1" showAll="0"/>
    <pivotField numFmtId="164"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axis="axisRow" showAll="0" defaultSubtotal="0">
      <items count="5">
        <item x="1"/>
        <item x="0"/>
        <item x="3"/>
        <item x="4"/>
        <item x="2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Lead_ID" fld="0" subtotal="count" baseField="0" baseItem="0"/>
  </dataFields>
  <chartFormats count="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call_Attempts">
  <location ref="A2:E10" firstHeaderRow="1" firstDataRow="2" firstDataCol="1"/>
  <pivotFields count="13">
    <pivotField dataField="1" showAll="0"/>
    <pivotField numFmtId="164" showAll="0"/>
    <pivotField showAll="0"/>
    <pivotField showAll="0"/>
    <pivotField showAll="0"/>
    <pivotField numFmtId="43" showAll="0"/>
    <pivotField axis="axisRow" showAll="0">
      <items count="7">
        <item x="5"/>
        <item x="1"/>
        <item x="4"/>
        <item x="2"/>
        <item x="0"/>
        <item x="3"/>
        <item t="default"/>
      </items>
    </pivotField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Lead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:E6" firstHeaderRow="1" firstDataRow="2" firstDataCol="1"/>
  <pivotFields count="13">
    <pivotField dataField="1" showAll="0"/>
    <pivotField numFmtId="164" showAll="0"/>
    <pivotField showAll="0">
      <items count="8">
        <item x="5"/>
        <item x="0"/>
        <item x="3"/>
        <item x="2"/>
        <item x="1"/>
        <item x="6"/>
        <item x="4"/>
        <item t="default"/>
      </items>
    </pivotField>
    <pivotField showAll="0"/>
    <pivotField showAll="0"/>
    <pivotField numFmtId="43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Lead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A2:D11" firstHeaderRow="1" firstDataRow="2" firstDataCol="1"/>
  <pivotFields count="13">
    <pivotField dataField="1" showAll="0"/>
    <pivotField numFmtId="164" showAll="0"/>
    <pivotField axis="axisRow" showAll="0">
      <items count="8">
        <item x="5"/>
        <item x="0"/>
        <item x="3"/>
        <item x="2"/>
        <item x="1"/>
        <item x="6"/>
        <item x="4"/>
        <item t="default"/>
      </items>
    </pivotField>
    <pivotField showAll="0"/>
    <pivotField showAll="0"/>
    <pivotField numFmtId="43"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Lead_ID" fld="0" subtotal="count" baseField="0" baseItem="0"/>
  </dataFields>
  <chartFormats count="18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9" count="1" selected="0">
            <x v="0"/>
          </reference>
        </references>
      </pivotArea>
    </chartFormat>
    <chartFormat chart="6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9" count="1" selected="0">
            <x v="0"/>
          </reference>
        </references>
      </pivotArea>
    </chartFormat>
    <chartFormat chart="6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9" count="1" selected="0">
            <x v="0"/>
          </reference>
        </references>
      </pivotArea>
    </chartFormat>
    <chartFormat chart="6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9" count="1" selected="0">
            <x v="0"/>
          </reference>
        </references>
      </pivotArea>
    </chartFormat>
    <chartFormat chart="6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9" count="1" selected="0">
            <x v="0"/>
          </reference>
        </references>
      </pivotArea>
    </chartFormat>
    <chartFormat chart="6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9" count="1" selected="0">
            <x v="0"/>
          </reference>
        </references>
      </pivotArea>
    </chartFormat>
    <chartFormat chart="6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9" count="1" selected="0">
            <x v="0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9" count="1" selected="0">
            <x v="1"/>
          </reference>
        </references>
      </pivotArea>
    </chartFormat>
    <chartFormat chart="6" format="2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9" count="1" selected="0">
            <x v="1"/>
          </reference>
        </references>
      </pivotArea>
    </chartFormat>
    <chartFormat chart="6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9" count="1" selected="0">
            <x v="1"/>
          </reference>
        </references>
      </pivotArea>
    </chartFormat>
    <chartFormat chart="6" format="30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9" count="1" selected="0">
            <x v="1"/>
          </reference>
        </references>
      </pivotArea>
    </chartFormat>
    <chartFormat chart="6" format="3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9" count="1" selected="0">
            <x v="1"/>
          </reference>
        </references>
      </pivotArea>
    </chartFormat>
    <chartFormat chart="6" format="32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9" count="1" selected="0">
            <x v="1"/>
          </reference>
        </references>
      </pivotArea>
    </chartFormat>
    <chartFormat chart="6" format="33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M1001" totalsRowShown="0" headerRowDxfId="16" dataDxfId="14" headerRowBorderDxfId="15" tableBorderDxfId="13">
  <autoFilter ref="A1:M1001"/>
  <tableColumns count="13">
    <tableColumn id="1" name="Lead_ID" dataDxfId="12"/>
    <tableColumn id="2" name="Lead_Date" dataDxfId="11"/>
    <tableColumn id="3" name="Lead_Source" dataDxfId="10"/>
    <tableColumn id="4" name="Location" dataDxfId="9"/>
    <tableColumn id="5" name="Property_Type" dataDxfId="8"/>
    <tableColumn id="6" name="Budget" dataDxfId="7" dataCellStyle="Comma"/>
    <tableColumn id="7" name="Call_Attempts" dataDxfId="6"/>
    <tableColumn id="8" name="Call_Status" dataDxfId="5"/>
    <tableColumn id="9" name="Follow_Up" dataDxfId="4"/>
    <tableColumn id="10" name="Site_Visit" dataDxfId="3"/>
    <tableColumn id="11" name="Lead_Status" dataDxfId="2"/>
    <tableColumn id="12" name="Sales_Value" dataDxfId="1"/>
    <tableColumn id="13" name="Budget_Range" dataDxfId="0">
      <calculatedColumnFormula>IF(F2&lt;3000000,"Below 30L",IF(F2&lt;5000000,"30L-50L",IF(F2&lt;8000000,"50L-80L",IF(F2&lt;12000000,"80L-1.2Cr","Above 1.2Cr"))))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G16" sqref="G16"/>
    </sheetView>
  </sheetViews>
  <sheetFormatPr defaultRowHeight="15" x14ac:dyDescent="0.25"/>
  <cols>
    <col min="2" max="2" width="10.7109375" customWidth="1"/>
    <col min="3" max="3" width="13.140625" customWidth="1"/>
    <col min="5" max="5" width="15" customWidth="1"/>
    <col min="7" max="7" width="14.28515625" customWidth="1"/>
    <col min="8" max="8" width="11.28515625" customWidth="1"/>
    <col min="9" max="9" width="11.42578125" customWidth="1"/>
    <col min="10" max="10" width="11.85546875" customWidth="1"/>
    <col min="11" max="11" width="12.7109375" customWidth="1"/>
    <col min="12" max="12" width="13.855468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spans="1:12" x14ac:dyDescent="0.25">
      <c r="A2" s="4" t="s">
        <v>12</v>
      </c>
      <c r="B2" s="5">
        <v>46143</v>
      </c>
      <c r="C2" s="4" t="s">
        <v>13</v>
      </c>
      <c r="D2" s="4" t="s">
        <v>14</v>
      </c>
      <c r="E2" s="4" t="s">
        <v>15</v>
      </c>
      <c r="F2" s="2">
        <v>4500000</v>
      </c>
      <c r="G2" s="2">
        <v>2</v>
      </c>
      <c r="H2" s="4" t="s">
        <v>16</v>
      </c>
      <c r="I2" s="4" t="s">
        <v>17</v>
      </c>
      <c r="J2" s="4" t="s">
        <v>17</v>
      </c>
      <c r="K2" s="4" t="s">
        <v>18</v>
      </c>
      <c r="L2" s="2">
        <v>4500000</v>
      </c>
    </row>
    <row r="3" spans="1:12" ht="30" x14ac:dyDescent="0.25">
      <c r="A3" s="4" t="s">
        <v>19</v>
      </c>
      <c r="B3" s="5">
        <v>46143</v>
      </c>
      <c r="C3" s="4" t="s">
        <v>20</v>
      </c>
      <c r="D3" s="4" t="s">
        <v>21</v>
      </c>
      <c r="E3" s="4" t="s">
        <v>22</v>
      </c>
      <c r="F3" s="2">
        <v>7500000</v>
      </c>
      <c r="G3" s="2">
        <v>1</v>
      </c>
      <c r="H3" s="4" t="s">
        <v>16</v>
      </c>
      <c r="I3" s="4" t="s">
        <v>17</v>
      </c>
      <c r="J3" s="4" t="s">
        <v>23</v>
      </c>
      <c r="K3" s="4" t="s">
        <v>24</v>
      </c>
      <c r="L3" s="2"/>
    </row>
    <row r="4" spans="1:12" x14ac:dyDescent="0.25">
      <c r="A4" s="4" t="s">
        <v>25</v>
      </c>
      <c r="B4" s="5">
        <v>46174</v>
      </c>
      <c r="C4" s="4" t="s">
        <v>26</v>
      </c>
      <c r="D4" s="4" t="s">
        <v>14</v>
      </c>
      <c r="E4" s="4" t="s">
        <v>27</v>
      </c>
      <c r="F4" s="2">
        <v>3000000</v>
      </c>
      <c r="G4" s="2">
        <v>3</v>
      </c>
      <c r="H4" s="4" t="s">
        <v>16</v>
      </c>
      <c r="I4" s="4" t="s">
        <v>23</v>
      </c>
      <c r="J4" s="4" t="s">
        <v>23</v>
      </c>
      <c r="K4" s="4" t="s">
        <v>28</v>
      </c>
      <c r="L4" s="2"/>
    </row>
    <row r="5" spans="1:12" ht="30" x14ac:dyDescent="0.25">
      <c r="A5" s="4" t="s">
        <v>29</v>
      </c>
      <c r="B5" s="5">
        <v>46174</v>
      </c>
      <c r="C5" s="4" t="s">
        <v>30</v>
      </c>
      <c r="D5" s="4" t="s">
        <v>31</v>
      </c>
      <c r="E5" s="4" t="s">
        <v>15</v>
      </c>
      <c r="F5" s="2">
        <v>5000000</v>
      </c>
      <c r="G5" s="2">
        <v>2</v>
      </c>
      <c r="H5" s="4" t="s">
        <v>16</v>
      </c>
      <c r="I5" s="4" t="s">
        <v>17</v>
      </c>
      <c r="J5" s="4" t="s">
        <v>17</v>
      </c>
      <c r="K5" s="4" t="s">
        <v>18</v>
      </c>
      <c r="L5" s="2">
        <v>5000000</v>
      </c>
    </row>
    <row r="6" spans="1:12" ht="30" x14ac:dyDescent="0.25">
      <c r="A6" s="4" t="s">
        <v>32</v>
      </c>
      <c r="B6" s="5">
        <v>46204</v>
      </c>
      <c r="C6" s="4" t="s">
        <v>33</v>
      </c>
      <c r="D6" s="4" t="s">
        <v>34</v>
      </c>
      <c r="E6" s="4" t="s">
        <v>22</v>
      </c>
      <c r="F6" s="2">
        <v>8500000</v>
      </c>
      <c r="G6" s="2">
        <v>1</v>
      </c>
      <c r="H6" s="4" t="s">
        <v>16</v>
      </c>
      <c r="I6" s="4" t="s">
        <v>17</v>
      </c>
      <c r="J6" s="4" t="s">
        <v>17</v>
      </c>
      <c r="K6" s="4" t="s">
        <v>18</v>
      </c>
      <c r="L6" s="2">
        <v>8500000</v>
      </c>
    </row>
    <row r="7" spans="1:12" ht="30" x14ac:dyDescent="0.25">
      <c r="A7" s="4" t="s">
        <v>35</v>
      </c>
      <c r="B7" s="5">
        <v>46204</v>
      </c>
      <c r="C7" s="4" t="s">
        <v>36</v>
      </c>
      <c r="D7" s="4" t="s">
        <v>14</v>
      </c>
      <c r="E7" s="4" t="s">
        <v>15</v>
      </c>
      <c r="F7" s="2">
        <v>4000000</v>
      </c>
      <c r="G7" s="2">
        <v>4</v>
      </c>
      <c r="H7" s="4" t="s">
        <v>37</v>
      </c>
      <c r="I7" s="4" t="s">
        <v>17</v>
      </c>
      <c r="J7" s="4" t="s">
        <v>23</v>
      </c>
      <c r="K7" s="4" t="s">
        <v>24</v>
      </c>
      <c r="L7" s="2"/>
    </row>
    <row r="8" spans="1:12" ht="30" x14ac:dyDescent="0.25">
      <c r="A8" s="4" t="s">
        <v>38</v>
      </c>
      <c r="B8" s="5">
        <v>46235</v>
      </c>
      <c r="C8" s="4" t="s">
        <v>20</v>
      </c>
      <c r="D8" s="4" t="s">
        <v>21</v>
      </c>
      <c r="E8" s="4" t="s">
        <v>27</v>
      </c>
      <c r="F8" s="2">
        <v>2500000</v>
      </c>
      <c r="G8" s="2">
        <v>2</v>
      </c>
      <c r="H8" s="4" t="s">
        <v>16</v>
      </c>
      <c r="I8" s="4" t="s">
        <v>23</v>
      </c>
      <c r="J8" s="4" t="s">
        <v>23</v>
      </c>
      <c r="K8" s="4" t="s">
        <v>28</v>
      </c>
      <c r="L8" s="2"/>
    </row>
    <row r="9" spans="1:12" x14ac:dyDescent="0.25">
      <c r="A9" s="4" t="s">
        <v>39</v>
      </c>
      <c r="B9" s="5">
        <v>46235</v>
      </c>
      <c r="C9" s="4" t="s">
        <v>13</v>
      </c>
      <c r="D9" s="4" t="s">
        <v>14</v>
      </c>
      <c r="E9" s="4" t="s">
        <v>22</v>
      </c>
      <c r="F9" s="2">
        <v>9000000</v>
      </c>
      <c r="G9" s="2">
        <v>3</v>
      </c>
      <c r="H9" s="4" t="s">
        <v>16</v>
      </c>
      <c r="I9" s="4" t="s">
        <v>17</v>
      </c>
      <c r="J9" s="4" t="s">
        <v>17</v>
      </c>
      <c r="K9" s="4" t="s">
        <v>18</v>
      </c>
      <c r="L9" s="2">
        <v>9000000</v>
      </c>
    </row>
    <row r="10" spans="1:12" ht="30" x14ac:dyDescent="0.25">
      <c r="A10" s="4" t="s">
        <v>40</v>
      </c>
      <c r="B10" s="5">
        <v>46266</v>
      </c>
      <c r="C10" s="4" t="s">
        <v>26</v>
      </c>
      <c r="D10" s="4" t="s">
        <v>31</v>
      </c>
      <c r="E10" s="4" t="s">
        <v>15</v>
      </c>
      <c r="F10" s="2">
        <v>5500000</v>
      </c>
      <c r="G10" s="2">
        <v>2</v>
      </c>
      <c r="H10" s="4" t="s">
        <v>16</v>
      </c>
      <c r="I10" s="4" t="s">
        <v>17</v>
      </c>
      <c r="J10" s="4" t="s">
        <v>23</v>
      </c>
      <c r="K10" s="4" t="s">
        <v>24</v>
      </c>
      <c r="L10" s="2"/>
    </row>
    <row r="11" spans="1:12" ht="30" x14ac:dyDescent="0.25">
      <c r="A11" s="4" t="s">
        <v>41</v>
      </c>
      <c r="B11" s="5">
        <v>46266</v>
      </c>
      <c r="C11" s="4" t="s">
        <v>30</v>
      </c>
      <c r="D11" s="4" t="s">
        <v>34</v>
      </c>
      <c r="E11" s="4" t="s">
        <v>27</v>
      </c>
      <c r="F11" s="2">
        <v>2800000</v>
      </c>
      <c r="G11" s="2">
        <v>1</v>
      </c>
      <c r="H11" s="4" t="s">
        <v>37</v>
      </c>
      <c r="I11" s="4" t="s">
        <v>23</v>
      </c>
      <c r="J11" s="4" t="s">
        <v>23</v>
      </c>
      <c r="K11" s="4" t="s">
        <v>28</v>
      </c>
      <c r="L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topLeftCell="A2" workbookViewId="0">
      <selection activeCell="G10" sqref="G10"/>
    </sheetView>
  </sheetViews>
  <sheetFormatPr defaultRowHeight="15" x14ac:dyDescent="0.25"/>
  <cols>
    <col min="1" max="1" width="10.140625" customWidth="1"/>
    <col min="2" max="2" width="18.28515625" bestFit="1" customWidth="1"/>
    <col min="3" max="3" width="14.5703125" bestFit="1" customWidth="1"/>
    <col min="4" max="4" width="12.85546875" bestFit="1" customWidth="1"/>
    <col min="5" max="5" width="16.140625" customWidth="1"/>
    <col min="6" max="6" width="14.28515625" style="11" bestFit="1" customWidth="1"/>
    <col min="7" max="7" width="15.7109375" customWidth="1"/>
    <col min="8" max="8" width="14.42578125" bestFit="1" customWidth="1"/>
    <col min="9" max="9" width="12.7109375" customWidth="1"/>
    <col min="10" max="10" width="11.5703125" customWidth="1"/>
    <col min="11" max="11" width="13.7109375" customWidth="1"/>
    <col min="12" max="12" width="13.85546875" customWidth="1"/>
  </cols>
  <sheetData>
    <row r="1" spans="1:13" ht="15.75" thickBo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1064</v>
      </c>
    </row>
    <row r="2" spans="1:13" x14ac:dyDescent="0.25">
      <c r="A2" s="6" t="s">
        <v>42</v>
      </c>
      <c r="B2" s="7">
        <v>46023</v>
      </c>
      <c r="C2" s="6" t="s">
        <v>26</v>
      </c>
      <c r="D2" s="6" t="s">
        <v>1059</v>
      </c>
      <c r="E2" s="6" t="s">
        <v>15</v>
      </c>
      <c r="F2" s="10">
        <v>5765637</v>
      </c>
      <c r="G2" s="6">
        <v>5</v>
      </c>
      <c r="H2" s="6" t="s">
        <v>16</v>
      </c>
      <c r="I2" s="6" t="s">
        <v>17</v>
      </c>
      <c r="J2" s="6" t="s">
        <v>23</v>
      </c>
      <c r="K2" s="6" t="s">
        <v>24</v>
      </c>
      <c r="L2" s="6"/>
      <c r="M2" s="6" t="str">
        <f t="shared" ref="M2:M65" si="0">IF(F2&lt;3000000,"Below 30L",IF(F2&lt;5000000,"30L-50L",IF(F2&lt;8000000,"50L-80L",IF(F2&lt;12000000,"80L-1.2Cr","Above 1.2Cr"))))</f>
        <v>50L-80L</v>
      </c>
    </row>
    <row r="3" spans="1:13" x14ac:dyDescent="0.25">
      <c r="A3" s="6" t="s">
        <v>43</v>
      </c>
      <c r="B3" s="7">
        <v>46023.226226851853</v>
      </c>
      <c r="C3" s="6" t="s">
        <v>33</v>
      </c>
      <c r="D3" s="6" t="s">
        <v>1060</v>
      </c>
      <c r="E3" s="6" t="s">
        <v>15</v>
      </c>
      <c r="F3" s="10">
        <v>4024374</v>
      </c>
      <c r="G3" s="6">
        <v>5</v>
      </c>
      <c r="H3" s="6" t="s">
        <v>16</v>
      </c>
      <c r="I3" s="6" t="s">
        <v>17</v>
      </c>
      <c r="J3" s="6" t="s">
        <v>17</v>
      </c>
      <c r="K3" s="6" t="s">
        <v>24</v>
      </c>
      <c r="L3" s="6"/>
      <c r="M3" s="6" t="str">
        <f t="shared" si="0"/>
        <v>30L-50L</v>
      </c>
    </row>
    <row r="4" spans="1:13" x14ac:dyDescent="0.25">
      <c r="A4" s="6" t="s">
        <v>44</v>
      </c>
      <c r="B4" s="7">
        <v>46023.452453703707</v>
      </c>
      <c r="C4" s="6" t="s">
        <v>36</v>
      </c>
      <c r="D4" s="6" t="s">
        <v>1061</v>
      </c>
      <c r="E4" s="6" t="s">
        <v>27</v>
      </c>
      <c r="F4" s="10">
        <v>4335056</v>
      </c>
      <c r="G4" s="6">
        <v>2</v>
      </c>
      <c r="H4" s="6" t="s">
        <v>16</v>
      </c>
      <c r="I4" s="6" t="s">
        <v>17</v>
      </c>
      <c r="J4" s="6" t="s">
        <v>17</v>
      </c>
      <c r="K4" s="6" t="s">
        <v>18</v>
      </c>
      <c r="L4" s="6">
        <v>4400000</v>
      </c>
      <c r="M4" s="6" t="str">
        <f t="shared" si="0"/>
        <v>30L-50L</v>
      </c>
    </row>
    <row r="5" spans="1:13" x14ac:dyDescent="0.25">
      <c r="A5" s="6" t="s">
        <v>45</v>
      </c>
      <c r="B5" s="7">
        <v>46023.678680555553</v>
      </c>
      <c r="C5" s="6" t="s">
        <v>30</v>
      </c>
      <c r="D5" s="6" t="s">
        <v>1062</v>
      </c>
      <c r="E5" s="6" t="s">
        <v>15</v>
      </c>
      <c r="F5" s="10">
        <v>6773587</v>
      </c>
      <c r="G5" s="6">
        <v>4</v>
      </c>
      <c r="H5" s="6" t="s">
        <v>37</v>
      </c>
      <c r="I5" s="6" t="s">
        <v>17</v>
      </c>
      <c r="J5" s="6" t="s">
        <v>23</v>
      </c>
      <c r="K5" s="6" t="s">
        <v>24</v>
      </c>
      <c r="L5" s="6"/>
      <c r="M5" s="6" t="str">
        <f t="shared" si="0"/>
        <v>50L-80L</v>
      </c>
    </row>
    <row r="6" spans="1:13" x14ac:dyDescent="0.25">
      <c r="A6" s="6" t="s">
        <v>46</v>
      </c>
      <c r="B6" s="7">
        <v>46023.904907407406</v>
      </c>
      <c r="C6" s="6" t="s">
        <v>13</v>
      </c>
      <c r="D6" s="6" t="s">
        <v>1063</v>
      </c>
      <c r="E6" s="6" t="s">
        <v>15</v>
      </c>
      <c r="F6" s="10">
        <v>3823759</v>
      </c>
      <c r="G6" s="6">
        <v>4</v>
      </c>
      <c r="H6" s="6" t="s">
        <v>16</v>
      </c>
      <c r="I6" s="6" t="s">
        <v>23</v>
      </c>
      <c r="J6" s="6" t="s">
        <v>23</v>
      </c>
      <c r="K6" s="6" t="s">
        <v>28</v>
      </c>
      <c r="L6" s="6"/>
      <c r="M6" s="6" t="str">
        <f t="shared" si="0"/>
        <v>30L-50L</v>
      </c>
    </row>
    <row r="7" spans="1:13" x14ac:dyDescent="0.25">
      <c r="A7" s="6" t="s">
        <v>47</v>
      </c>
      <c r="B7" s="7">
        <v>46024.13113425926</v>
      </c>
      <c r="C7" s="6" t="s">
        <v>13</v>
      </c>
      <c r="D7" s="6" t="s">
        <v>1062</v>
      </c>
      <c r="E7" s="6" t="s">
        <v>22</v>
      </c>
      <c r="F7" s="10">
        <v>7679328</v>
      </c>
      <c r="G7" s="6">
        <v>6</v>
      </c>
      <c r="H7" s="6" t="s">
        <v>16</v>
      </c>
      <c r="I7" s="6" t="s">
        <v>17</v>
      </c>
      <c r="J7" s="6" t="s">
        <v>23</v>
      </c>
      <c r="K7" s="6" t="s">
        <v>24</v>
      </c>
      <c r="L7" s="6"/>
      <c r="M7" s="6" t="str">
        <f t="shared" si="0"/>
        <v>50L-80L</v>
      </c>
    </row>
    <row r="8" spans="1:13" x14ac:dyDescent="0.25">
      <c r="A8" s="6" t="s">
        <v>48</v>
      </c>
      <c r="B8" s="7">
        <v>46024.357361111113</v>
      </c>
      <c r="C8" s="6" t="s">
        <v>13</v>
      </c>
      <c r="D8" s="6" t="s">
        <v>1062</v>
      </c>
      <c r="E8" s="6" t="s">
        <v>15</v>
      </c>
      <c r="F8" s="10">
        <v>4650654</v>
      </c>
      <c r="G8" s="6">
        <v>3</v>
      </c>
      <c r="H8" s="6" t="s">
        <v>37</v>
      </c>
      <c r="I8" s="6" t="s">
        <v>23</v>
      </c>
      <c r="J8" s="6" t="s">
        <v>23</v>
      </c>
      <c r="K8" s="6" t="s">
        <v>28</v>
      </c>
      <c r="L8" s="6"/>
      <c r="M8" s="6" t="str">
        <f t="shared" si="0"/>
        <v>30L-50L</v>
      </c>
    </row>
    <row r="9" spans="1:13" x14ac:dyDescent="0.25">
      <c r="A9" s="6" t="s">
        <v>49</v>
      </c>
      <c r="B9" s="7">
        <v>46024.583587962959</v>
      </c>
      <c r="C9" s="6" t="s">
        <v>36</v>
      </c>
      <c r="D9" s="6" t="s">
        <v>1063</v>
      </c>
      <c r="E9" s="6" t="s">
        <v>22</v>
      </c>
      <c r="F9" s="10">
        <v>6092036</v>
      </c>
      <c r="G9" s="6">
        <v>1</v>
      </c>
      <c r="H9" s="6" t="s">
        <v>37</v>
      </c>
      <c r="I9" s="6" t="s">
        <v>23</v>
      </c>
      <c r="J9" s="6" t="s">
        <v>23</v>
      </c>
      <c r="K9" s="6" t="s">
        <v>28</v>
      </c>
      <c r="L9" s="6"/>
      <c r="M9" s="6" t="str">
        <f t="shared" si="0"/>
        <v>50L-80L</v>
      </c>
    </row>
    <row r="10" spans="1:13" x14ac:dyDescent="0.25">
      <c r="A10" s="6" t="s">
        <v>50</v>
      </c>
      <c r="B10" s="7">
        <v>46024.809814814813</v>
      </c>
      <c r="C10" s="6" t="s">
        <v>30</v>
      </c>
      <c r="D10" s="6" t="s">
        <v>1059</v>
      </c>
      <c r="E10" s="6" t="s">
        <v>15</v>
      </c>
      <c r="F10" s="10">
        <v>3853392</v>
      </c>
      <c r="G10" s="6">
        <v>3</v>
      </c>
      <c r="H10" s="6" t="s">
        <v>16</v>
      </c>
      <c r="I10" s="6" t="s">
        <v>23</v>
      </c>
      <c r="J10" s="6" t="s">
        <v>23</v>
      </c>
      <c r="K10" s="6" t="s">
        <v>28</v>
      </c>
      <c r="L10" s="6"/>
      <c r="M10" s="6" t="str">
        <f t="shared" si="0"/>
        <v>30L-50L</v>
      </c>
    </row>
    <row r="11" spans="1:13" x14ac:dyDescent="0.25">
      <c r="A11" s="6" t="s">
        <v>51</v>
      </c>
      <c r="B11" s="7">
        <v>46025.036041666666</v>
      </c>
      <c r="C11" s="6" t="s">
        <v>30</v>
      </c>
      <c r="D11" s="6" t="s">
        <v>1060</v>
      </c>
      <c r="E11" s="6" t="s">
        <v>15</v>
      </c>
      <c r="F11" s="10">
        <v>7690457</v>
      </c>
      <c r="G11" s="6">
        <v>3</v>
      </c>
      <c r="H11" s="6" t="s">
        <v>16</v>
      </c>
      <c r="I11" s="6" t="s">
        <v>17</v>
      </c>
      <c r="J11" s="6" t="s">
        <v>23</v>
      </c>
      <c r="K11" s="6" t="s">
        <v>24</v>
      </c>
      <c r="L11" s="6"/>
      <c r="M11" s="6" t="str">
        <f t="shared" si="0"/>
        <v>50L-80L</v>
      </c>
    </row>
    <row r="12" spans="1:13" x14ac:dyDescent="0.25">
      <c r="A12" s="6" t="s">
        <v>52</v>
      </c>
      <c r="B12" s="7">
        <v>46025.262256944443</v>
      </c>
      <c r="C12" s="6" t="s">
        <v>13</v>
      </c>
      <c r="D12" s="6" t="s">
        <v>1059</v>
      </c>
      <c r="E12" s="6" t="s">
        <v>15</v>
      </c>
      <c r="F12" s="10">
        <v>6654693</v>
      </c>
      <c r="G12" s="6">
        <v>3</v>
      </c>
      <c r="H12" s="6" t="s">
        <v>37</v>
      </c>
      <c r="I12" s="6" t="s">
        <v>23</v>
      </c>
      <c r="J12" s="6" t="s">
        <v>23</v>
      </c>
      <c r="K12" s="6" t="s">
        <v>28</v>
      </c>
      <c r="L12" s="6"/>
      <c r="M12" s="6" t="str">
        <f t="shared" si="0"/>
        <v>50L-80L</v>
      </c>
    </row>
    <row r="13" spans="1:13" x14ac:dyDescent="0.25">
      <c r="A13" s="6" t="s">
        <v>53</v>
      </c>
      <c r="B13" s="7">
        <v>46025.488483796296</v>
      </c>
      <c r="C13" s="6" t="s">
        <v>33</v>
      </c>
      <c r="D13" s="6" t="s">
        <v>1061</v>
      </c>
      <c r="E13" s="6" t="s">
        <v>15</v>
      </c>
      <c r="F13" s="10">
        <v>3293946</v>
      </c>
      <c r="G13" s="6">
        <v>2</v>
      </c>
      <c r="H13" s="6" t="s">
        <v>16</v>
      </c>
      <c r="I13" s="6" t="s">
        <v>17</v>
      </c>
      <c r="J13" s="6" t="s">
        <v>23</v>
      </c>
      <c r="K13" s="6" t="s">
        <v>24</v>
      </c>
      <c r="L13" s="6"/>
      <c r="M13" s="6" t="str">
        <f t="shared" si="0"/>
        <v>30L-50L</v>
      </c>
    </row>
    <row r="14" spans="1:13" x14ac:dyDescent="0.25">
      <c r="A14" s="6" t="s">
        <v>54</v>
      </c>
      <c r="B14" s="7">
        <v>46025.71471064815</v>
      </c>
      <c r="C14" s="6" t="s">
        <v>36</v>
      </c>
      <c r="D14" s="6" t="s">
        <v>1061</v>
      </c>
      <c r="E14" s="6" t="s">
        <v>27</v>
      </c>
      <c r="F14" s="10">
        <v>2142927</v>
      </c>
      <c r="G14" s="6">
        <v>5</v>
      </c>
      <c r="H14" s="6" t="s">
        <v>16</v>
      </c>
      <c r="I14" s="6" t="s">
        <v>17</v>
      </c>
      <c r="J14" s="6" t="s">
        <v>23</v>
      </c>
      <c r="K14" s="6" t="s">
        <v>24</v>
      </c>
      <c r="L14" s="6"/>
      <c r="M14" s="6" t="str">
        <f t="shared" si="0"/>
        <v>Below 30L</v>
      </c>
    </row>
    <row r="15" spans="1:13" x14ac:dyDescent="0.25">
      <c r="A15" s="6" t="s">
        <v>55</v>
      </c>
      <c r="B15" s="7">
        <v>46025.940937500003</v>
      </c>
      <c r="C15" s="6" t="s">
        <v>26</v>
      </c>
      <c r="D15" s="6" t="s">
        <v>1059</v>
      </c>
      <c r="E15" s="6" t="s">
        <v>15</v>
      </c>
      <c r="F15" s="10">
        <v>4266389</v>
      </c>
      <c r="G15" s="6">
        <v>6</v>
      </c>
      <c r="H15" s="6" t="s">
        <v>16</v>
      </c>
      <c r="I15" s="6" t="s">
        <v>17</v>
      </c>
      <c r="J15" s="6" t="s">
        <v>23</v>
      </c>
      <c r="K15" s="6" t="s">
        <v>24</v>
      </c>
      <c r="L15" s="6"/>
      <c r="M15" s="6" t="str">
        <f t="shared" si="0"/>
        <v>30L-50L</v>
      </c>
    </row>
    <row r="16" spans="1:13" x14ac:dyDescent="0.25">
      <c r="A16" s="6" t="s">
        <v>56</v>
      </c>
      <c r="B16" s="7">
        <v>46026.167164351849</v>
      </c>
      <c r="C16" s="6" t="s">
        <v>13</v>
      </c>
      <c r="D16" s="6" t="s">
        <v>1062</v>
      </c>
      <c r="E16" s="6" t="s">
        <v>15</v>
      </c>
      <c r="F16" s="10">
        <v>4388509</v>
      </c>
      <c r="G16" s="6">
        <v>1</v>
      </c>
      <c r="H16" s="6" t="s">
        <v>37</v>
      </c>
      <c r="I16" s="6" t="s">
        <v>23</v>
      </c>
      <c r="J16" s="6" t="s">
        <v>23</v>
      </c>
      <c r="K16" s="6" t="s">
        <v>28</v>
      </c>
      <c r="L16" s="6"/>
      <c r="M16" s="6" t="str">
        <f t="shared" si="0"/>
        <v>30L-50L</v>
      </c>
    </row>
    <row r="17" spans="1:13" x14ac:dyDescent="0.25">
      <c r="A17" s="6" t="s">
        <v>57</v>
      </c>
      <c r="B17" s="7">
        <v>46026.393391203703</v>
      </c>
      <c r="C17" s="6" t="s">
        <v>13</v>
      </c>
      <c r="D17" s="6" t="s">
        <v>1061</v>
      </c>
      <c r="E17" s="6" t="s">
        <v>15</v>
      </c>
      <c r="F17" s="10">
        <v>3483779</v>
      </c>
      <c r="G17" s="6">
        <v>1</v>
      </c>
      <c r="H17" s="6" t="s">
        <v>16</v>
      </c>
      <c r="I17" s="6" t="s">
        <v>17</v>
      </c>
      <c r="J17" s="6" t="s">
        <v>17</v>
      </c>
      <c r="K17" s="6" t="s">
        <v>24</v>
      </c>
      <c r="L17" s="6"/>
      <c r="M17" s="6" t="str">
        <f t="shared" si="0"/>
        <v>30L-50L</v>
      </c>
    </row>
    <row r="18" spans="1:13" x14ac:dyDescent="0.25">
      <c r="A18" s="6" t="s">
        <v>58</v>
      </c>
      <c r="B18" s="7">
        <v>46026.619618055556</v>
      </c>
      <c r="C18" s="6" t="s">
        <v>26</v>
      </c>
      <c r="D18" s="6" t="s">
        <v>1059</v>
      </c>
      <c r="E18" s="6" t="s">
        <v>15</v>
      </c>
      <c r="F18" s="10">
        <v>8994134</v>
      </c>
      <c r="G18" s="6">
        <v>1</v>
      </c>
      <c r="H18" s="6" t="s">
        <v>37</v>
      </c>
      <c r="I18" s="6" t="s">
        <v>23</v>
      </c>
      <c r="J18" s="6" t="s">
        <v>23</v>
      </c>
      <c r="K18" s="6" t="s">
        <v>28</v>
      </c>
      <c r="L18" s="6"/>
      <c r="M18" s="6" t="str">
        <f t="shared" si="0"/>
        <v>80L-1.2Cr</v>
      </c>
    </row>
    <row r="19" spans="1:13" x14ac:dyDescent="0.25">
      <c r="A19" s="6" t="s">
        <v>59</v>
      </c>
      <c r="B19" s="7">
        <v>46026.84584490741</v>
      </c>
      <c r="C19" s="6" t="s">
        <v>20</v>
      </c>
      <c r="D19" s="6" t="s">
        <v>1060</v>
      </c>
      <c r="E19" s="6" t="s">
        <v>27</v>
      </c>
      <c r="F19" s="10">
        <v>4123854</v>
      </c>
      <c r="G19" s="6">
        <v>4</v>
      </c>
      <c r="H19" s="6" t="s">
        <v>16</v>
      </c>
      <c r="I19" s="6" t="s">
        <v>17</v>
      </c>
      <c r="J19" s="6" t="s">
        <v>17</v>
      </c>
      <c r="K19" s="6" t="s">
        <v>18</v>
      </c>
      <c r="L19" s="6">
        <v>3900000</v>
      </c>
      <c r="M19" s="6" t="str">
        <f t="shared" si="0"/>
        <v>30L-50L</v>
      </c>
    </row>
    <row r="20" spans="1:13" x14ac:dyDescent="0.25">
      <c r="A20" s="6" t="s">
        <v>60</v>
      </c>
      <c r="B20" s="7">
        <v>46027.072071759256</v>
      </c>
      <c r="C20" s="6" t="s">
        <v>20</v>
      </c>
      <c r="D20" s="6" t="s">
        <v>1061</v>
      </c>
      <c r="E20" s="6" t="s">
        <v>15</v>
      </c>
      <c r="F20" s="10">
        <v>4983456</v>
      </c>
      <c r="G20" s="6">
        <v>3</v>
      </c>
      <c r="H20" s="6" t="s">
        <v>37</v>
      </c>
      <c r="I20" s="6" t="s">
        <v>17</v>
      </c>
      <c r="J20" s="6" t="s">
        <v>23</v>
      </c>
      <c r="K20" s="6" t="s">
        <v>24</v>
      </c>
      <c r="L20" s="6"/>
      <c r="M20" s="6" t="str">
        <f t="shared" si="0"/>
        <v>30L-50L</v>
      </c>
    </row>
    <row r="21" spans="1:13" x14ac:dyDescent="0.25">
      <c r="A21" s="6" t="s">
        <v>61</v>
      </c>
      <c r="B21" s="7">
        <v>46027.298298611109</v>
      </c>
      <c r="C21" s="6" t="s">
        <v>26</v>
      </c>
      <c r="D21" s="6" t="s">
        <v>1059</v>
      </c>
      <c r="E21" s="6" t="s">
        <v>22</v>
      </c>
      <c r="F21" s="10">
        <v>11879960</v>
      </c>
      <c r="G21" s="6">
        <v>3</v>
      </c>
      <c r="H21" s="6" t="s">
        <v>16</v>
      </c>
      <c r="I21" s="6" t="s">
        <v>17</v>
      </c>
      <c r="J21" s="6" t="s">
        <v>17</v>
      </c>
      <c r="K21" s="6" t="s">
        <v>24</v>
      </c>
      <c r="L21" s="6"/>
      <c r="M21" s="6" t="str">
        <f t="shared" si="0"/>
        <v>80L-1.2Cr</v>
      </c>
    </row>
    <row r="22" spans="1:13" x14ac:dyDescent="0.25">
      <c r="A22" s="6" t="s">
        <v>62</v>
      </c>
      <c r="B22" s="7">
        <v>46027.524525462963</v>
      </c>
      <c r="C22" s="6" t="s">
        <v>30</v>
      </c>
      <c r="D22" s="6" t="s">
        <v>1062</v>
      </c>
      <c r="E22" s="6" t="s">
        <v>27</v>
      </c>
      <c r="F22" s="10">
        <v>5251672</v>
      </c>
      <c r="G22" s="6">
        <v>2</v>
      </c>
      <c r="H22" s="6" t="s">
        <v>16</v>
      </c>
      <c r="I22" s="6" t="s">
        <v>23</v>
      </c>
      <c r="J22" s="6" t="s">
        <v>23</v>
      </c>
      <c r="K22" s="6" t="s">
        <v>28</v>
      </c>
      <c r="L22" s="6"/>
      <c r="M22" s="6" t="str">
        <f t="shared" si="0"/>
        <v>50L-80L</v>
      </c>
    </row>
    <row r="23" spans="1:13" x14ac:dyDescent="0.25">
      <c r="A23" s="6" t="s">
        <v>63</v>
      </c>
      <c r="B23" s="7">
        <v>46027.750752314816</v>
      </c>
      <c r="C23" s="6" t="s">
        <v>13</v>
      </c>
      <c r="D23" s="6" t="s">
        <v>21</v>
      </c>
      <c r="E23" s="6" t="s">
        <v>22</v>
      </c>
      <c r="F23" s="10">
        <v>7624777</v>
      </c>
      <c r="G23" s="6">
        <v>3</v>
      </c>
      <c r="H23" s="6" t="s">
        <v>16</v>
      </c>
      <c r="I23" s="6" t="s">
        <v>17</v>
      </c>
      <c r="J23" s="6" t="s">
        <v>17</v>
      </c>
      <c r="K23" s="6" t="s">
        <v>18</v>
      </c>
      <c r="L23" s="6">
        <v>7450000</v>
      </c>
      <c r="M23" s="6" t="str">
        <f t="shared" si="0"/>
        <v>50L-80L</v>
      </c>
    </row>
    <row r="24" spans="1:13" x14ac:dyDescent="0.25">
      <c r="A24" s="6" t="s">
        <v>64</v>
      </c>
      <c r="B24" s="7">
        <v>46027.976979166669</v>
      </c>
      <c r="C24" s="6" t="s">
        <v>26</v>
      </c>
      <c r="D24" s="6" t="s">
        <v>1061</v>
      </c>
      <c r="E24" s="6" t="s">
        <v>27</v>
      </c>
      <c r="F24" s="10">
        <v>5514266</v>
      </c>
      <c r="G24" s="6">
        <v>2</v>
      </c>
      <c r="H24" s="6" t="s">
        <v>16</v>
      </c>
      <c r="I24" s="6" t="s">
        <v>17</v>
      </c>
      <c r="J24" s="6" t="s">
        <v>23</v>
      </c>
      <c r="K24" s="6" t="s">
        <v>24</v>
      </c>
      <c r="L24" s="6"/>
      <c r="M24" s="6" t="str">
        <f t="shared" si="0"/>
        <v>50L-80L</v>
      </c>
    </row>
    <row r="25" spans="1:13" x14ac:dyDescent="0.25">
      <c r="A25" s="6" t="s">
        <v>65</v>
      </c>
      <c r="B25" s="7">
        <v>46028.203206018516</v>
      </c>
      <c r="C25" s="6" t="s">
        <v>26</v>
      </c>
      <c r="D25" s="6" t="s">
        <v>1061</v>
      </c>
      <c r="E25" s="6" t="s">
        <v>15</v>
      </c>
      <c r="F25" s="10">
        <v>4729578</v>
      </c>
      <c r="G25" s="6">
        <v>2</v>
      </c>
      <c r="H25" s="6" t="s">
        <v>16</v>
      </c>
      <c r="I25" s="6" t="s">
        <v>23</v>
      </c>
      <c r="J25" s="6" t="s">
        <v>17</v>
      </c>
      <c r="K25" s="6" t="s">
        <v>28</v>
      </c>
      <c r="L25" s="6"/>
      <c r="M25" s="6" t="str">
        <f t="shared" si="0"/>
        <v>30L-50L</v>
      </c>
    </row>
    <row r="26" spans="1:13" x14ac:dyDescent="0.25">
      <c r="A26" s="6" t="s">
        <v>66</v>
      </c>
      <c r="B26" s="7">
        <v>46028.429432870369</v>
      </c>
      <c r="C26" s="6" t="s">
        <v>20</v>
      </c>
      <c r="D26" s="6" t="s">
        <v>1061</v>
      </c>
      <c r="E26" s="6" t="s">
        <v>15</v>
      </c>
      <c r="F26" s="10">
        <v>3095556</v>
      </c>
      <c r="G26" s="6">
        <v>4</v>
      </c>
      <c r="H26" s="6" t="s">
        <v>16</v>
      </c>
      <c r="I26" s="6" t="s">
        <v>17</v>
      </c>
      <c r="J26" s="6" t="s">
        <v>23</v>
      </c>
      <c r="K26" s="6" t="s">
        <v>24</v>
      </c>
      <c r="L26" s="6"/>
      <c r="M26" s="6" t="str">
        <f t="shared" si="0"/>
        <v>30L-50L</v>
      </c>
    </row>
    <row r="27" spans="1:13" x14ac:dyDescent="0.25">
      <c r="A27" s="6" t="s">
        <v>67</v>
      </c>
      <c r="B27" s="7">
        <v>46028.655659722222</v>
      </c>
      <c r="C27" s="6" t="s">
        <v>36</v>
      </c>
      <c r="D27" s="6" t="s">
        <v>1060</v>
      </c>
      <c r="E27" s="6" t="s">
        <v>15</v>
      </c>
      <c r="F27" s="10">
        <v>8992357</v>
      </c>
      <c r="G27" s="6">
        <v>6</v>
      </c>
      <c r="H27" s="6" t="s">
        <v>16</v>
      </c>
      <c r="I27" s="6" t="s">
        <v>23</v>
      </c>
      <c r="J27" s="6" t="s">
        <v>23</v>
      </c>
      <c r="K27" s="6" t="s">
        <v>28</v>
      </c>
      <c r="L27" s="6"/>
      <c r="M27" s="6" t="str">
        <f t="shared" si="0"/>
        <v>80L-1.2Cr</v>
      </c>
    </row>
    <row r="28" spans="1:13" x14ac:dyDescent="0.25">
      <c r="A28" s="6" t="s">
        <v>68</v>
      </c>
      <c r="B28" s="7">
        <v>46028.881886574076</v>
      </c>
      <c r="C28" s="6" t="s">
        <v>13</v>
      </c>
      <c r="D28" s="6" t="s">
        <v>1061</v>
      </c>
      <c r="E28" s="6" t="s">
        <v>22</v>
      </c>
      <c r="F28" s="10">
        <v>6652755</v>
      </c>
      <c r="G28" s="6">
        <v>5</v>
      </c>
      <c r="H28" s="6" t="s">
        <v>16</v>
      </c>
      <c r="I28" s="6" t="s">
        <v>17</v>
      </c>
      <c r="J28" s="6" t="s">
        <v>23</v>
      </c>
      <c r="K28" s="6" t="s">
        <v>18</v>
      </c>
      <c r="L28" s="6">
        <v>6550000</v>
      </c>
      <c r="M28" s="6" t="str">
        <f t="shared" si="0"/>
        <v>50L-80L</v>
      </c>
    </row>
    <row r="29" spans="1:13" x14ac:dyDescent="0.25">
      <c r="A29" s="6" t="s">
        <v>69</v>
      </c>
      <c r="B29" s="7">
        <v>46029.108113425929</v>
      </c>
      <c r="C29" s="6" t="s">
        <v>20</v>
      </c>
      <c r="D29" s="6" t="s">
        <v>1063</v>
      </c>
      <c r="E29" s="6" t="s">
        <v>27</v>
      </c>
      <c r="F29" s="10">
        <v>2929210</v>
      </c>
      <c r="G29" s="6">
        <v>5</v>
      </c>
      <c r="H29" s="6" t="s">
        <v>16</v>
      </c>
      <c r="I29" s="6" t="s">
        <v>17</v>
      </c>
      <c r="J29" s="6" t="s">
        <v>17</v>
      </c>
      <c r="K29" s="6" t="s">
        <v>18</v>
      </c>
      <c r="L29" s="6">
        <v>2800000</v>
      </c>
      <c r="M29" s="6" t="str">
        <f t="shared" si="0"/>
        <v>Below 30L</v>
      </c>
    </row>
    <row r="30" spans="1:13" x14ac:dyDescent="0.25">
      <c r="A30" s="6" t="s">
        <v>70</v>
      </c>
      <c r="B30" s="7">
        <v>46029.334328703706</v>
      </c>
      <c r="C30" s="6" t="s">
        <v>30</v>
      </c>
      <c r="D30" s="6" t="s">
        <v>21</v>
      </c>
      <c r="E30" s="6" t="s">
        <v>15</v>
      </c>
      <c r="F30" s="10">
        <v>5838951</v>
      </c>
      <c r="G30" s="6">
        <v>2</v>
      </c>
      <c r="H30" s="6" t="s">
        <v>37</v>
      </c>
      <c r="I30" s="6" t="s">
        <v>23</v>
      </c>
      <c r="J30" s="6" t="s">
        <v>23</v>
      </c>
      <c r="K30" s="6" t="s">
        <v>28</v>
      </c>
      <c r="L30" s="6"/>
      <c r="M30" s="6" t="str">
        <f t="shared" si="0"/>
        <v>50L-80L</v>
      </c>
    </row>
    <row r="31" spans="1:13" x14ac:dyDescent="0.25">
      <c r="A31" s="6" t="s">
        <v>71</v>
      </c>
      <c r="B31" s="7">
        <v>46029.560555555552</v>
      </c>
      <c r="C31" s="6" t="s">
        <v>13</v>
      </c>
      <c r="D31" s="6" t="s">
        <v>1063</v>
      </c>
      <c r="E31" s="6" t="s">
        <v>22</v>
      </c>
      <c r="F31" s="10">
        <v>7094409</v>
      </c>
      <c r="G31" s="6">
        <v>2</v>
      </c>
      <c r="H31" s="6" t="s">
        <v>37</v>
      </c>
      <c r="I31" s="6" t="s">
        <v>23</v>
      </c>
      <c r="J31" s="6" t="s">
        <v>23</v>
      </c>
      <c r="K31" s="6" t="s">
        <v>28</v>
      </c>
      <c r="L31" s="6"/>
      <c r="M31" s="6" t="str">
        <f t="shared" si="0"/>
        <v>50L-80L</v>
      </c>
    </row>
    <row r="32" spans="1:13" x14ac:dyDescent="0.25">
      <c r="A32" s="6" t="s">
        <v>72</v>
      </c>
      <c r="B32" s="7">
        <v>46029.786782407406</v>
      </c>
      <c r="C32" s="6" t="s">
        <v>30</v>
      </c>
      <c r="D32" s="6" t="s">
        <v>1059</v>
      </c>
      <c r="E32" s="6" t="s">
        <v>15</v>
      </c>
      <c r="F32" s="10">
        <v>6283587</v>
      </c>
      <c r="G32" s="6">
        <v>4</v>
      </c>
      <c r="H32" s="6" t="s">
        <v>16</v>
      </c>
      <c r="I32" s="6" t="s">
        <v>23</v>
      </c>
      <c r="J32" s="6" t="s">
        <v>17</v>
      </c>
      <c r="K32" s="6" t="s">
        <v>18</v>
      </c>
      <c r="L32" s="6">
        <v>6200000</v>
      </c>
      <c r="M32" s="6" t="str">
        <f t="shared" si="0"/>
        <v>50L-80L</v>
      </c>
    </row>
    <row r="33" spans="1:13" x14ac:dyDescent="0.25">
      <c r="A33" s="6" t="s">
        <v>73</v>
      </c>
      <c r="B33" s="7">
        <v>46030.013009259259</v>
      </c>
      <c r="C33" s="6" t="s">
        <v>13</v>
      </c>
      <c r="D33" s="6" t="s">
        <v>1060</v>
      </c>
      <c r="E33" s="6" t="s">
        <v>22</v>
      </c>
      <c r="F33" s="10">
        <v>7513083</v>
      </c>
      <c r="G33" s="6">
        <v>5</v>
      </c>
      <c r="H33" s="6" t="s">
        <v>16</v>
      </c>
      <c r="I33" s="6" t="s">
        <v>17</v>
      </c>
      <c r="J33" s="6" t="s">
        <v>17</v>
      </c>
      <c r="K33" s="6" t="s">
        <v>24</v>
      </c>
      <c r="L33" s="6"/>
      <c r="M33" s="6" t="str">
        <f t="shared" si="0"/>
        <v>50L-80L</v>
      </c>
    </row>
    <row r="34" spans="1:13" x14ac:dyDescent="0.25">
      <c r="A34" s="6" t="s">
        <v>74</v>
      </c>
      <c r="B34" s="7">
        <v>46030.239236111112</v>
      </c>
      <c r="C34" s="6" t="s">
        <v>13</v>
      </c>
      <c r="D34" s="6" t="s">
        <v>1059</v>
      </c>
      <c r="E34" s="6" t="s">
        <v>15</v>
      </c>
      <c r="F34" s="10">
        <v>5898950</v>
      </c>
      <c r="G34" s="6">
        <v>1</v>
      </c>
      <c r="H34" s="6" t="s">
        <v>37</v>
      </c>
      <c r="I34" s="6" t="s">
        <v>17</v>
      </c>
      <c r="J34" s="6" t="s">
        <v>23</v>
      </c>
      <c r="K34" s="6" t="s">
        <v>24</v>
      </c>
      <c r="L34" s="6"/>
      <c r="M34" s="6" t="str">
        <f t="shared" si="0"/>
        <v>50L-80L</v>
      </c>
    </row>
    <row r="35" spans="1:13" x14ac:dyDescent="0.25">
      <c r="A35" s="6" t="s">
        <v>75</v>
      </c>
      <c r="B35" s="7">
        <v>46030.465462962966</v>
      </c>
      <c r="C35" s="6" t="s">
        <v>33</v>
      </c>
      <c r="D35" s="6" t="s">
        <v>1059</v>
      </c>
      <c r="E35" s="6" t="s">
        <v>27</v>
      </c>
      <c r="F35" s="10">
        <v>5522155</v>
      </c>
      <c r="G35" s="6">
        <v>2</v>
      </c>
      <c r="H35" s="6" t="s">
        <v>16</v>
      </c>
      <c r="I35" s="6" t="s">
        <v>23</v>
      </c>
      <c r="J35" s="6" t="s">
        <v>23</v>
      </c>
      <c r="K35" s="6" t="s">
        <v>28</v>
      </c>
      <c r="L35" s="6"/>
      <c r="M35" s="6" t="str">
        <f t="shared" si="0"/>
        <v>50L-80L</v>
      </c>
    </row>
    <row r="36" spans="1:13" x14ac:dyDescent="0.25">
      <c r="A36" s="6" t="s">
        <v>76</v>
      </c>
      <c r="B36" s="7">
        <v>46030.691689814812</v>
      </c>
      <c r="C36" s="6" t="s">
        <v>33</v>
      </c>
      <c r="D36" s="6" t="s">
        <v>1059</v>
      </c>
      <c r="E36" s="6" t="s">
        <v>22</v>
      </c>
      <c r="F36" s="10">
        <v>9511931</v>
      </c>
      <c r="G36" s="6">
        <v>1</v>
      </c>
      <c r="H36" s="6" t="s">
        <v>16</v>
      </c>
      <c r="I36" s="6" t="s">
        <v>17</v>
      </c>
      <c r="J36" s="6" t="s">
        <v>23</v>
      </c>
      <c r="K36" s="6" t="s">
        <v>24</v>
      </c>
      <c r="L36" s="6"/>
      <c r="M36" s="6" t="str">
        <f t="shared" si="0"/>
        <v>80L-1.2Cr</v>
      </c>
    </row>
    <row r="37" spans="1:13" x14ac:dyDescent="0.25">
      <c r="A37" s="6" t="s">
        <v>77</v>
      </c>
      <c r="B37" s="7">
        <v>46030.917916666665</v>
      </c>
      <c r="C37" s="6" t="s">
        <v>36</v>
      </c>
      <c r="D37" s="6" t="s">
        <v>1062</v>
      </c>
      <c r="E37" s="6" t="s">
        <v>15</v>
      </c>
      <c r="F37" s="10">
        <v>4079525</v>
      </c>
      <c r="G37" s="6">
        <v>3</v>
      </c>
      <c r="H37" s="6" t="s">
        <v>16</v>
      </c>
      <c r="I37" s="6" t="s">
        <v>23</v>
      </c>
      <c r="J37" s="6" t="s">
        <v>17</v>
      </c>
      <c r="K37" s="6" t="s">
        <v>18</v>
      </c>
      <c r="L37" s="6">
        <v>3900000</v>
      </c>
      <c r="M37" s="6" t="str">
        <f t="shared" si="0"/>
        <v>30L-50L</v>
      </c>
    </row>
    <row r="38" spans="1:13" x14ac:dyDescent="0.25">
      <c r="A38" s="6" t="s">
        <v>78</v>
      </c>
      <c r="B38" s="7">
        <v>46031.144143518519</v>
      </c>
      <c r="C38" s="6" t="s">
        <v>26</v>
      </c>
      <c r="D38" s="6" t="s">
        <v>21</v>
      </c>
      <c r="E38" s="6" t="s">
        <v>15</v>
      </c>
      <c r="F38" s="10">
        <v>3854568</v>
      </c>
      <c r="G38" s="6">
        <v>2</v>
      </c>
      <c r="H38" s="6" t="s">
        <v>16</v>
      </c>
      <c r="I38" s="6" t="s">
        <v>17</v>
      </c>
      <c r="J38" s="6" t="s">
        <v>17</v>
      </c>
      <c r="K38" s="6" t="s">
        <v>18</v>
      </c>
      <c r="L38" s="6">
        <v>3900000</v>
      </c>
      <c r="M38" s="6" t="str">
        <f t="shared" si="0"/>
        <v>30L-50L</v>
      </c>
    </row>
    <row r="39" spans="1:13" x14ac:dyDescent="0.25">
      <c r="A39" s="6" t="s">
        <v>79</v>
      </c>
      <c r="B39" s="7">
        <v>46031.370370370372</v>
      </c>
      <c r="C39" s="6" t="s">
        <v>13</v>
      </c>
      <c r="D39" s="6" t="s">
        <v>1062</v>
      </c>
      <c r="E39" s="6" t="s">
        <v>15</v>
      </c>
      <c r="F39" s="10">
        <v>3061842</v>
      </c>
      <c r="G39" s="6">
        <v>2</v>
      </c>
      <c r="H39" s="6" t="s">
        <v>37</v>
      </c>
      <c r="I39" s="6" t="s">
        <v>23</v>
      </c>
      <c r="J39" s="6" t="s">
        <v>23</v>
      </c>
      <c r="K39" s="6" t="s">
        <v>28</v>
      </c>
      <c r="L39" s="6"/>
      <c r="M39" s="6" t="str">
        <f t="shared" si="0"/>
        <v>30L-50L</v>
      </c>
    </row>
    <row r="40" spans="1:13" x14ac:dyDescent="0.25">
      <c r="A40" s="6" t="s">
        <v>80</v>
      </c>
      <c r="B40" s="7">
        <v>46031.596597222226</v>
      </c>
      <c r="C40" s="6" t="s">
        <v>30</v>
      </c>
      <c r="D40" s="6" t="s">
        <v>1059</v>
      </c>
      <c r="E40" s="6" t="s">
        <v>15</v>
      </c>
      <c r="F40" s="10">
        <v>4789135</v>
      </c>
      <c r="G40" s="6">
        <v>1</v>
      </c>
      <c r="H40" s="6" t="s">
        <v>16</v>
      </c>
      <c r="I40" s="6" t="s">
        <v>17</v>
      </c>
      <c r="J40" s="6" t="s">
        <v>23</v>
      </c>
      <c r="K40" s="6" t="s">
        <v>24</v>
      </c>
      <c r="L40" s="6"/>
      <c r="M40" s="6" t="str">
        <f t="shared" si="0"/>
        <v>30L-50L</v>
      </c>
    </row>
    <row r="41" spans="1:13" x14ac:dyDescent="0.25">
      <c r="A41" s="6" t="s">
        <v>81</v>
      </c>
      <c r="B41" s="7">
        <v>46031.822824074072</v>
      </c>
      <c r="C41" s="6" t="s">
        <v>20</v>
      </c>
      <c r="D41" s="6" t="s">
        <v>21</v>
      </c>
      <c r="E41" s="6" t="s">
        <v>15</v>
      </c>
      <c r="F41" s="10">
        <v>4630357</v>
      </c>
      <c r="G41" s="6">
        <v>2</v>
      </c>
      <c r="H41" s="6" t="s">
        <v>37</v>
      </c>
      <c r="I41" s="6" t="s">
        <v>17</v>
      </c>
      <c r="J41" s="6" t="s">
        <v>23</v>
      </c>
      <c r="K41" s="6" t="s">
        <v>24</v>
      </c>
      <c r="L41" s="6"/>
      <c r="M41" s="6" t="str">
        <f t="shared" si="0"/>
        <v>30L-50L</v>
      </c>
    </row>
    <row r="42" spans="1:13" x14ac:dyDescent="0.25">
      <c r="A42" s="6" t="s">
        <v>82</v>
      </c>
      <c r="B42" s="7">
        <v>46032.049050925925</v>
      </c>
      <c r="C42" s="6" t="s">
        <v>13</v>
      </c>
      <c r="D42" s="6" t="s">
        <v>1060</v>
      </c>
      <c r="E42" s="6" t="s">
        <v>27</v>
      </c>
      <c r="F42" s="10">
        <v>2237090</v>
      </c>
      <c r="G42" s="6">
        <v>5</v>
      </c>
      <c r="H42" s="6" t="s">
        <v>16</v>
      </c>
      <c r="I42" s="6" t="s">
        <v>17</v>
      </c>
      <c r="J42" s="6" t="s">
        <v>17</v>
      </c>
      <c r="K42" s="6" t="s">
        <v>18</v>
      </c>
      <c r="L42" s="6">
        <v>2200000</v>
      </c>
      <c r="M42" s="6" t="str">
        <f t="shared" si="0"/>
        <v>Below 30L</v>
      </c>
    </row>
    <row r="43" spans="1:13" x14ac:dyDescent="0.25">
      <c r="A43" s="6" t="s">
        <v>83</v>
      </c>
      <c r="B43" s="7">
        <v>46032.275277777779</v>
      </c>
      <c r="C43" s="6" t="s">
        <v>20</v>
      </c>
      <c r="D43" s="6" t="s">
        <v>1063</v>
      </c>
      <c r="E43" s="6" t="s">
        <v>22</v>
      </c>
      <c r="F43" s="10">
        <v>6787738</v>
      </c>
      <c r="G43" s="6">
        <v>1</v>
      </c>
      <c r="H43" s="6" t="s">
        <v>16</v>
      </c>
      <c r="I43" s="6" t="s">
        <v>17</v>
      </c>
      <c r="J43" s="6" t="s">
        <v>23</v>
      </c>
      <c r="K43" s="6" t="s">
        <v>24</v>
      </c>
      <c r="L43" s="6"/>
      <c r="M43" s="6" t="str">
        <f t="shared" si="0"/>
        <v>50L-80L</v>
      </c>
    </row>
    <row r="44" spans="1:13" x14ac:dyDescent="0.25">
      <c r="A44" s="6" t="s">
        <v>84</v>
      </c>
      <c r="B44" s="7">
        <v>46032.501504629632</v>
      </c>
      <c r="C44" s="6" t="s">
        <v>13</v>
      </c>
      <c r="D44" s="6" t="s">
        <v>21</v>
      </c>
      <c r="E44" s="6" t="s">
        <v>15</v>
      </c>
      <c r="F44" s="10">
        <v>4873217</v>
      </c>
      <c r="G44" s="6">
        <v>3</v>
      </c>
      <c r="H44" s="6" t="s">
        <v>16</v>
      </c>
      <c r="I44" s="6" t="s">
        <v>23</v>
      </c>
      <c r="J44" s="6" t="s">
        <v>23</v>
      </c>
      <c r="K44" s="6" t="s">
        <v>28</v>
      </c>
      <c r="L44" s="6"/>
      <c r="M44" s="6" t="str">
        <f t="shared" si="0"/>
        <v>30L-50L</v>
      </c>
    </row>
    <row r="45" spans="1:13" x14ac:dyDescent="0.25">
      <c r="A45" s="6" t="s">
        <v>85</v>
      </c>
      <c r="B45" s="7">
        <v>46032.727731481478</v>
      </c>
      <c r="C45" s="6" t="s">
        <v>33</v>
      </c>
      <c r="D45" s="6" t="s">
        <v>1062</v>
      </c>
      <c r="E45" s="6" t="s">
        <v>15</v>
      </c>
      <c r="F45" s="10">
        <v>4761446</v>
      </c>
      <c r="G45" s="6">
        <v>3</v>
      </c>
      <c r="H45" s="6" t="s">
        <v>16</v>
      </c>
      <c r="I45" s="6" t="s">
        <v>23</v>
      </c>
      <c r="J45" s="6" t="s">
        <v>23</v>
      </c>
      <c r="K45" s="6" t="s">
        <v>18</v>
      </c>
      <c r="L45" s="6">
        <v>4650000</v>
      </c>
      <c r="M45" s="6" t="str">
        <f t="shared" si="0"/>
        <v>30L-50L</v>
      </c>
    </row>
    <row r="46" spans="1:13" x14ac:dyDescent="0.25">
      <c r="A46" s="6" t="s">
        <v>86</v>
      </c>
      <c r="B46" s="7">
        <v>46032.953958333332</v>
      </c>
      <c r="C46" s="6" t="s">
        <v>26</v>
      </c>
      <c r="D46" s="6" t="s">
        <v>1061</v>
      </c>
      <c r="E46" s="6" t="s">
        <v>27</v>
      </c>
      <c r="F46" s="10">
        <v>1930179</v>
      </c>
      <c r="G46" s="6">
        <v>5</v>
      </c>
      <c r="H46" s="6" t="s">
        <v>16</v>
      </c>
      <c r="I46" s="6" t="s">
        <v>17</v>
      </c>
      <c r="J46" s="6" t="s">
        <v>23</v>
      </c>
      <c r="K46" s="6" t="s">
        <v>24</v>
      </c>
      <c r="L46" s="6"/>
      <c r="M46" s="6" t="str">
        <f t="shared" si="0"/>
        <v>Below 30L</v>
      </c>
    </row>
    <row r="47" spans="1:13" x14ac:dyDescent="0.25">
      <c r="A47" s="6" t="s">
        <v>87</v>
      </c>
      <c r="B47" s="7">
        <v>46033.180185185185</v>
      </c>
      <c r="C47" s="6" t="s">
        <v>30</v>
      </c>
      <c r="D47" s="6" t="s">
        <v>1062</v>
      </c>
      <c r="E47" s="6" t="s">
        <v>22</v>
      </c>
      <c r="F47" s="10">
        <v>6280833</v>
      </c>
      <c r="G47" s="6">
        <v>1</v>
      </c>
      <c r="H47" s="6" t="s">
        <v>16</v>
      </c>
      <c r="I47" s="6" t="s">
        <v>17</v>
      </c>
      <c r="J47" s="6" t="s">
        <v>17</v>
      </c>
      <c r="K47" s="6" t="s">
        <v>18</v>
      </c>
      <c r="L47" s="6">
        <v>6600000</v>
      </c>
      <c r="M47" s="6" t="str">
        <f t="shared" si="0"/>
        <v>50L-80L</v>
      </c>
    </row>
    <row r="48" spans="1:13" x14ac:dyDescent="0.25">
      <c r="A48" s="6" t="s">
        <v>88</v>
      </c>
      <c r="B48" s="7">
        <v>46033.406412037039</v>
      </c>
      <c r="C48" s="6" t="s">
        <v>26</v>
      </c>
      <c r="D48" s="6" t="s">
        <v>1059</v>
      </c>
      <c r="E48" s="6" t="s">
        <v>15</v>
      </c>
      <c r="F48" s="10">
        <v>8409825</v>
      </c>
      <c r="G48" s="6">
        <v>6</v>
      </c>
      <c r="H48" s="6" t="s">
        <v>37</v>
      </c>
      <c r="I48" s="6" t="s">
        <v>23</v>
      </c>
      <c r="J48" s="6" t="s">
        <v>23</v>
      </c>
      <c r="K48" s="6" t="s">
        <v>28</v>
      </c>
      <c r="L48" s="6"/>
      <c r="M48" s="6" t="str">
        <f t="shared" si="0"/>
        <v>80L-1.2Cr</v>
      </c>
    </row>
    <row r="49" spans="1:13" x14ac:dyDescent="0.25">
      <c r="A49" s="6" t="s">
        <v>89</v>
      </c>
      <c r="B49" s="7">
        <v>46033.632627314815</v>
      </c>
      <c r="C49" s="6" t="s">
        <v>20</v>
      </c>
      <c r="D49" s="6" t="s">
        <v>1059</v>
      </c>
      <c r="E49" s="6" t="s">
        <v>22</v>
      </c>
      <c r="F49" s="10">
        <v>8283785</v>
      </c>
      <c r="G49" s="6">
        <v>3</v>
      </c>
      <c r="H49" s="6" t="s">
        <v>37</v>
      </c>
      <c r="I49" s="6" t="s">
        <v>17</v>
      </c>
      <c r="J49" s="6" t="s">
        <v>23</v>
      </c>
      <c r="K49" s="6" t="s">
        <v>24</v>
      </c>
      <c r="L49" s="6"/>
      <c r="M49" s="6" t="str">
        <f t="shared" si="0"/>
        <v>80L-1.2Cr</v>
      </c>
    </row>
    <row r="50" spans="1:13" x14ac:dyDescent="0.25">
      <c r="A50" s="6" t="s">
        <v>90</v>
      </c>
      <c r="B50" s="7">
        <v>46033.858854166669</v>
      </c>
      <c r="C50" s="6" t="s">
        <v>20</v>
      </c>
      <c r="D50" s="6" t="s">
        <v>1061</v>
      </c>
      <c r="E50" s="6" t="s">
        <v>15</v>
      </c>
      <c r="F50" s="10">
        <v>5334875</v>
      </c>
      <c r="G50" s="6">
        <v>6</v>
      </c>
      <c r="H50" s="6" t="s">
        <v>16</v>
      </c>
      <c r="I50" s="6" t="s">
        <v>17</v>
      </c>
      <c r="J50" s="6" t="s">
        <v>23</v>
      </c>
      <c r="K50" s="6" t="s">
        <v>24</v>
      </c>
      <c r="L50" s="6"/>
      <c r="M50" s="6" t="str">
        <f t="shared" si="0"/>
        <v>50L-80L</v>
      </c>
    </row>
    <row r="51" spans="1:13" x14ac:dyDescent="0.25">
      <c r="A51" s="6" t="s">
        <v>91</v>
      </c>
      <c r="B51" s="7">
        <v>46034.085081018522</v>
      </c>
      <c r="C51" s="6" t="s">
        <v>13</v>
      </c>
      <c r="D51" s="6" t="s">
        <v>1059</v>
      </c>
      <c r="E51" s="6" t="s">
        <v>15</v>
      </c>
      <c r="F51" s="10">
        <v>5278800</v>
      </c>
      <c r="G51" s="6">
        <v>5</v>
      </c>
      <c r="H51" s="6" t="s">
        <v>16</v>
      </c>
      <c r="I51" s="6" t="s">
        <v>23</v>
      </c>
      <c r="J51" s="6" t="s">
        <v>23</v>
      </c>
      <c r="K51" s="6" t="s">
        <v>28</v>
      </c>
      <c r="L51" s="6"/>
      <c r="M51" s="6" t="str">
        <f t="shared" si="0"/>
        <v>50L-80L</v>
      </c>
    </row>
    <row r="52" spans="1:13" x14ac:dyDescent="0.25">
      <c r="A52" s="6" t="s">
        <v>92</v>
      </c>
      <c r="B52" s="7">
        <v>46034.311307870368</v>
      </c>
      <c r="C52" s="6" t="s">
        <v>33</v>
      </c>
      <c r="D52" s="6" t="s">
        <v>1061</v>
      </c>
      <c r="E52" s="6" t="s">
        <v>15</v>
      </c>
      <c r="F52" s="10">
        <v>4410295</v>
      </c>
      <c r="G52" s="6">
        <v>1</v>
      </c>
      <c r="H52" s="6" t="s">
        <v>37</v>
      </c>
      <c r="I52" s="6" t="s">
        <v>23</v>
      </c>
      <c r="J52" s="6" t="s">
        <v>23</v>
      </c>
      <c r="K52" s="6" t="s">
        <v>18</v>
      </c>
      <c r="L52" s="6">
        <v>4300000</v>
      </c>
      <c r="M52" s="6" t="str">
        <f t="shared" si="0"/>
        <v>30L-50L</v>
      </c>
    </row>
    <row r="53" spans="1:13" x14ac:dyDescent="0.25">
      <c r="A53" s="6" t="s">
        <v>93</v>
      </c>
      <c r="B53" s="7">
        <v>46034.537534722222</v>
      </c>
      <c r="C53" s="6" t="s">
        <v>36</v>
      </c>
      <c r="D53" s="6" t="s">
        <v>1060</v>
      </c>
      <c r="E53" s="6" t="s">
        <v>15</v>
      </c>
      <c r="F53" s="10">
        <v>6458498</v>
      </c>
      <c r="G53" s="6">
        <v>1</v>
      </c>
      <c r="H53" s="6" t="s">
        <v>16</v>
      </c>
      <c r="I53" s="6" t="s">
        <v>23</v>
      </c>
      <c r="J53" s="6" t="s">
        <v>23</v>
      </c>
      <c r="K53" s="6" t="s">
        <v>28</v>
      </c>
      <c r="L53" s="6"/>
      <c r="M53" s="6" t="str">
        <f t="shared" si="0"/>
        <v>50L-80L</v>
      </c>
    </row>
    <row r="54" spans="1:13" x14ac:dyDescent="0.25">
      <c r="A54" s="6" t="s">
        <v>94</v>
      </c>
      <c r="B54" s="7">
        <v>46034.763761574075</v>
      </c>
      <c r="C54" s="6" t="s">
        <v>33</v>
      </c>
      <c r="D54" s="6" t="s">
        <v>1061</v>
      </c>
      <c r="E54" s="6" t="s">
        <v>15</v>
      </c>
      <c r="F54" s="10">
        <v>3841708</v>
      </c>
      <c r="G54" s="6">
        <v>2</v>
      </c>
      <c r="H54" s="6" t="s">
        <v>37</v>
      </c>
      <c r="I54" s="6" t="s">
        <v>23</v>
      </c>
      <c r="J54" s="6" t="s">
        <v>17</v>
      </c>
      <c r="K54" s="6" t="s">
        <v>18</v>
      </c>
      <c r="L54" s="6">
        <v>3700000</v>
      </c>
      <c r="M54" s="6" t="str">
        <f t="shared" si="0"/>
        <v>30L-50L</v>
      </c>
    </row>
    <row r="55" spans="1:13" x14ac:dyDescent="0.25">
      <c r="A55" s="6" t="s">
        <v>95</v>
      </c>
      <c r="B55" s="7">
        <v>46034.989988425928</v>
      </c>
      <c r="C55" s="6" t="s">
        <v>36</v>
      </c>
      <c r="D55" s="6" t="s">
        <v>1063</v>
      </c>
      <c r="E55" s="6" t="s">
        <v>27</v>
      </c>
      <c r="F55" s="10">
        <v>2608848</v>
      </c>
      <c r="G55" s="6">
        <v>3</v>
      </c>
      <c r="H55" s="6" t="s">
        <v>16</v>
      </c>
      <c r="I55" s="6" t="s">
        <v>17</v>
      </c>
      <c r="J55" s="6" t="s">
        <v>23</v>
      </c>
      <c r="K55" s="6" t="s">
        <v>24</v>
      </c>
      <c r="L55" s="6"/>
      <c r="M55" s="6" t="str">
        <f t="shared" si="0"/>
        <v>Below 30L</v>
      </c>
    </row>
    <row r="56" spans="1:13" x14ac:dyDescent="0.25">
      <c r="A56" s="6" t="s">
        <v>96</v>
      </c>
      <c r="B56" s="7">
        <v>46035.216215277775</v>
      </c>
      <c r="C56" s="6" t="s">
        <v>30</v>
      </c>
      <c r="D56" s="6" t="s">
        <v>1061</v>
      </c>
      <c r="E56" s="6" t="s">
        <v>27</v>
      </c>
      <c r="F56" s="10">
        <v>2496358</v>
      </c>
      <c r="G56" s="6">
        <v>1</v>
      </c>
      <c r="H56" s="6" t="s">
        <v>16</v>
      </c>
      <c r="I56" s="6" t="s">
        <v>17</v>
      </c>
      <c r="J56" s="6" t="s">
        <v>17</v>
      </c>
      <c r="K56" s="6" t="s">
        <v>18</v>
      </c>
      <c r="L56" s="6">
        <v>2400000</v>
      </c>
      <c r="M56" s="6" t="str">
        <f t="shared" si="0"/>
        <v>Below 30L</v>
      </c>
    </row>
    <row r="57" spans="1:13" x14ac:dyDescent="0.25">
      <c r="A57" s="6" t="s">
        <v>97</v>
      </c>
      <c r="B57" s="7">
        <v>46035.442442129628</v>
      </c>
      <c r="C57" s="6" t="s">
        <v>33</v>
      </c>
      <c r="D57" s="6" t="s">
        <v>21</v>
      </c>
      <c r="E57" s="6" t="s">
        <v>22</v>
      </c>
      <c r="F57" s="10">
        <v>6253091</v>
      </c>
      <c r="G57" s="6">
        <v>1</v>
      </c>
      <c r="H57" s="6" t="s">
        <v>37</v>
      </c>
      <c r="I57" s="6" t="s">
        <v>23</v>
      </c>
      <c r="J57" s="6" t="s">
        <v>23</v>
      </c>
      <c r="K57" s="6" t="s">
        <v>28</v>
      </c>
      <c r="L57" s="6"/>
      <c r="M57" s="6" t="str">
        <f t="shared" si="0"/>
        <v>50L-80L</v>
      </c>
    </row>
    <row r="58" spans="1:13" x14ac:dyDescent="0.25">
      <c r="A58" s="6" t="s">
        <v>98</v>
      </c>
      <c r="B58" s="7">
        <v>46035.668668981481</v>
      </c>
      <c r="C58" s="6" t="s">
        <v>13</v>
      </c>
      <c r="D58" s="6" t="s">
        <v>1063</v>
      </c>
      <c r="E58" s="6" t="s">
        <v>15</v>
      </c>
      <c r="F58" s="10">
        <v>7101161</v>
      </c>
      <c r="G58" s="6">
        <v>2</v>
      </c>
      <c r="H58" s="6" t="s">
        <v>16</v>
      </c>
      <c r="I58" s="6" t="s">
        <v>17</v>
      </c>
      <c r="J58" s="6" t="s">
        <v>17</v>
      </c>
      <c r="K58" s="6" t="s">
        <v>18</v>
      </c>
      <c r="L58" s="6">
        <v>7350000</v>
      </c>
      <c r="M58" s="6" t="str">
        <f t="shared" si="0"/>
        <v>50L-80L</v>
      </c>
    </row>
    <row r="59" spans="1:13" x14ac:dyDescent="0.25">
      <c r="A59" s="6" t="s">
        <v>99</v>
      </c>
      <c r="B59" s="7">
        <v>46035.894895833335</v>
      </c>
      <c r="C59" s="6" t="s">
        <v>13</v>
      </c>
      <c r="D59" s="6" t="s">
        <v>21</v>
      </c>
      <c r="E59" s="6" t="s">
        <v>15</v>
      </c>
      <c r="F59" s="10">
        <v>4775050</v>
      </c>
      <c r="G59" s="6">
        <v>1</v>
      </c>
      <c r="H59" s="6" t="s">
        <v>37</v>
      </c>
      <c r="I59" s="6" t="s">
        <v>23</v>
      </c>
      <c r="J59" s="6" t="s">
        <v>23</v>
      </c>
      <c r="K59" s="6" t="s">
        <v>28</v>
      </c>
      <c r="L59" s="6"/>
      <c r="M59" s="6" t="str">
        <f t="shared" si="0"/>
        <v>30L-50L</v>
      </c>
    </row>
    <row r="60" spans="1:13" x14ac:dyDescent="0.25">
      <c r="A60" s="6" t="s">
        <v>100</v>
      </c>
      <c r="B60" s="7">
        <v>46036.121122685188</v>
      </c>
      <c r="C60" s="6" t="s">
        <v>13</v>
      </c>
      <c r="D60" s="6" t="s">
        <v>1060</v>
      </c>
      <c r="E60" s="6" t="s">
        <v>22</v>
      </c>
      <c r="F60" s="10">
        <v>11938854</v>
      </c>
      <c r="G60" s="6">
        <v>1</v>
      </c>
      <c r="H60" s="6" t="s">
        <v>37</v>
      </c>
      <c r="I60" s="6" t="s">
        <v>23</v>
      </c>
      <c r="J60" s="6" t="s">
        <v>23</v>
      </c>
      <c r="K60" s="6" t="s">
        <v>28</v>
      </c>
      <c r="L60" s="6"/>
      <c r="M60" s="6" t="str">
        <f t="shared" si="0"/>
        <v>80L-1.2Cr</v>
      </c>
    </row>
    <row r="61" spans="1:13" x14ac:dyDescent="0.25">
      <c r="A61" s="6" t="s">
        <v>101</v>
      </c>
      <c r="B61" s="7">
        <v>46036.347349537034</v>
      </c>
      <c r="C61" s="6" t="s">
        <v>26</v>
      </c>
      <c r="D61" s="6" t="s">
        <v>1062</v>
      </c>
      <c r="E61" s="6" t="s">
        <v>15</v>
      </c>
      <c r="F61" s="10">
        <v>7919921</v>
      </c>
      <c r="G61" s="6">
        <v>2</v>
      </c>
      <c r="H61" s="6" t="s">
        <v>16</v>
      </c>
      <c r="I61" s="6" t="s">
        <v>17</v>
      </c>
      <c r="J61" s="6" t="s">
        <v>23</v>
      </c>
      <c r="K61" s="6" t="s">
        <v>24</v>
      </c>
      <c r="L61" s="6"/>
      <c r="M61" s="6" t="str">
        <f t="shared" si="0"/>
        <v>50L-80L</v>
      </c>
    </row>
    <row r="62" spans="1:13" x14ac:dyDescent="0.25">
      <c r="A62" s="6" t="s">
        <v>102</v>
      </c>
      <c r="B62" s="7">
        <v>46036.573576388888</v>
      </c>
      <c r="C62" s="6" t="s">
        <v>26</v>
      </c>
      <c r="D62" s="6" t="s">
        <v>1061</v>
      </c>
      <c r="E62" s="6" t="s">
        <v>15</v>
      </c>
      <c r="F62" s="10">
        <v>5140795</v>
      </c>
      <c r="G62" s="6">
        <v>1</v>
      </c>
      <c r="H62" s="6" t="s">
        <v>16</v>
      </c>
      <c r="I62" s="6" t="s">
        <v>17</v>
      </c>
      <c r="J62" s="6" t="s">
        <v>17</v>
      </c>
      <c r="K62" s="6" t="s">
        <v>18</v>
      </c>
      <c r="L62" s="6">
        <v>5050000</v>
      </c>
      <c r="M62" s="6" t="str">
        <f t="shared" si="0"/>
        <v>50L-80L</v>
      </c>
    </row>
    <row r="63" spans="1:13" x14ac:dyDescent="0.25">
      <c r="A63" s="6" t="s">
        <v>103</v>
      </c>
      <c r="B63" s="7">
        <v>46036.799803240741</v>
      </c>
      <c r="C63" s="6" t="s">
        <v>26</v>
      </c>
      <c r="D63" s="6" t="s">
        <v>1061</v>
      </c>
      <c r="E63" s="6" t="s">
        <v>15</v>
      </c>
      <c r="F63" s="10">
        <v>4461666</v>
      </c>
      <c r="G63" s="6">
        <v>2</v>
      </c>
      <c r="H63" s="6" t="s">
        <v>37</v>
      </c>
      <c r="I63" s="6" t="s">
        <v>23</v>
      </c>
      <c r="J63" s="6" t="s">
        <v>23</v>
      </c>
      <c r="K63" s="6" t="s">
        <v>28</v>
      </c>
      <c r="L63" s="6"/>
      <c r="M63" s="6" t="str">
        <f t="shared" si="0"/>
        <v>30L-50L</v>
      </c>
    </row>
    <row r="64" spans="1:13" x14ac:dyDescent="0.25">
      <c r="A64" s="6" t="s">
        <v>104</v>
      </c>
      <c r="B64" s="7">
        <v>46037.026030092595</v>
      </c>
      <c r="C64" s="6" t="s">
        <v>36</v>
      </c>
      <c r="D64" s="6" t="s">
        <v>1063</v>
      </c>
      <c r="E64" s="6" t="s">
        <v>27</v>
      </c>
      <c r="F64" s="10">
        <v>6361237</v>
      </c>
      <c r="G64" s="6">
        <v>2</v>
      </c>
      <c r="H64" s="6" t="s">
        <v>37</v>
      </c>
      <c r="I64" s="6" t="s">
        <v>17</v>
      </c>
      <c r="J64" s="6" t="s">
        <v>23</v>
      </c>
      <c r="K64" s="6" t="s">
        <v>24</v>
      </c>
      <c r="L64" s="6"/>
      <c r="M64" s="6" t="str">
        <f t="shared" si="0"/>
        <v>50L-80L</v>
      </c>
    </row>
    <row r="65" spans="1:13" x14ac:dyDescent="0.25">
      <c r="A65" s="6" t="s">
        <v>105</v>
      </c>
      <c r="B65" s="7">
        <v>46037.252256944441</v>
      </c>
      <c r="C65" s="6" t="s">
        <v>26</v>
      </c>
      <c r="D65" s="6" t="s">
        <v>21</v>
      </c>
      <c r="E65" s="6" t="s">
        <v>15</v>
      </c>
      <c r="F65" s="10">
        <v>8334908</v>
      </c>
      <c r="G65" s="6">
        <v>2</v>
      </c>
      <c r="H65" s="6" t="s">
        <v>16</v>
      </c>
      <c r="I65" s="6" t="s">
        <v>17</v>
      </c>
      <c r="J65" s="6" t="s">
        <v>23</v>
      </c>
      <c r="K65" s="6" t="s">
        <v>24</v>
      </c>
      <c r="L65" s="6"/>
      <c r="M65" s="6" t="str">
        <f t="shared" si="0"/>
        <v>80L-1.2Cr</v>
      </c>
    </row>
    <row r="66" spans="1:13" x14ac:dyDescent="0.25">
      <c r="A66" s="6" t="s">
        <v>106</v>
      </c>
      <c r="B66" s="7">
        <v>46037.478483796294</v>
      </c>
      <c r="C66" s="6" t="s">
        <v>26</v>
      </c>
      <c r="D66" s="6" t="s">
        <v>21</v>
      </c>
      <c r="E66" s="6" t="s">
        <v>15</v>
      </c>
      <c r="F66" s="10">
        <v>6633499</v>
      </c>
      <c r="G66" s="6">
        <v>5</v>
      </c>
      <c r="H66" s="6" t="s">
        <v>16</v>
      </c>
      <c r="I66" s="6" t="s">
        <v>17</v>
      </c>
      <c r="J66" s="6" t="s">
        <v>23</v>
      </c>
      <c r="K66" s="6" t="s">
        <v>24</v>
      </c>
      <c r="L66" s="6"/>
      <c r="M66" s="6" t="str">
        <f t="shared" ref="M66:M129" si="1">IF(F66&lt;3000000,"Below 30L",IF(F66&lt;5000000,"30L-50L",IF(F66&lt;8000000,"50L-80L",IF(F66&lt;12000000,"80L-1.2Cr","Above 1.2Cr"))))</f>
        <v>50L-80L</v>
      </c>
    </row>
    <row r="67" spans="1:13" x14ac:dyDescent="0.25">
      <c r="A67" s="6" t="s">
        <v>107</v>
      </c>
      <c r="B67" s="7">
        <v>46037.704699074071</v>
      </c>
      <c r="C67" s="6" t="s">
        <v>20</v>
      </c>
      <c r="D67" s="6" t="s">
        <v>1062</v>
      </c>
      <c r="E67" s="6" t="s">
        <v>22</v>
      </c>
      <c r="F67" s="10">
        <v>9638586</v>
      </c>
      <c r="G67" s="6">
        <v>3</v>
      </c>
      <c r="H67" s="6" t="s">
        <v>16</v>
      </c>
      <c r="I67" s="6" t="s">
        <v>17</v>
      </c>
      <c r="J67" s="6" t="s">
        <v>23</v>
      </c>
      <c r="K67" s="6" t="s">
        <v>24</v>
      </c>
      <c r="L67" s="6"/>
      <c r="M67" s="6" t="str">
        <f t="shared" si="1"/>
        <v>80L-1.2Cr</v>
      </c>
    </row>
    <row r="68" spans="1:13" x14ac:dyDescent="0.25">
      <c r="A68" s="6" t="s">
        <v>108</v>
      </c>
      <c r="B68" s="7">
        <v>46037.930925925924</v>
      </c>
      <c r="C68" s="6" t="s">
        <v>13</v>
      </c>
      <c r="D68" s="6" t="s">
        <v>1059</v>
      </c>
      <c r="E68" s="6" t="s">
        <v>15</v>
      </c>
      <c r="F68" s="10">
        <v>6544817</v>
      </c>
      <c r="G68" s="6">
        <v>2</v>
      </c>
      <c r="H68" s="6" t="s">
        <v>16</v>
      </c>
      <c r="I68" s="6" t="s">
        <v>23</v>
      </c>
      <c r="J68" s="6" t="s">
        <v>23</v>
      </c>
      <c r="K68" s="6" t="s">
        <v>28</v>
      </c>
      <c r="L68" s="6"/>
      <c r="M68" s="6" t="str">
        <f t="shared" si="1"/>
        <v>50L-80L</v>
      </c>
    </row>
    <row r="69" spans="1:13" x14ac:dyDescent="0.25">
      <c r="A69" s="6" t="s">
        <v>109</v>
      </c>
      <c r="B69" s="7">
        <v>46038.157152777778</v>
      </c>
      <c r="C69" s="6" t="s">
        <v>36</v>
      </c>
      <c r="D69" s="6" t="s">
        <v>1059</v>
      </c>
      <c r="E69" s="6" t="s">
        <v>15</v>
      </c>
      <c r="F69" s="10">
        <v>5639753</v>
      </c>
      <c r="G69" s="6">
        <v>2</v>
      </c>
      <c r="H69" s="6" t="s">
        <v>37</v>
      </c>
      <c r="I69" s="6" t="s">
        <v>17</v>
      </c>
      <c r="J69" s="6" t="s">
        <v>23</v>
      </c>
      <c r="K69" s="6" t="s">
        <v>24</v>
      </c>
      <c r="L69" s="6"/>
      <c r="M69" s="6" t="str">
        <f t="shared" si="1"/>
        <v>50L-80L</v>
      </c>
    </row>
    <row r="70" spans="1:13" x14ac:dyDescent="0.25">
      <c r="A70" s="6" t="s">
        <v>110</v>
      </c>
      <c r="B70" s="7">
        <v>46038.383379629631</v>
      </c>
      <c r="C70" s="6" t="s">
        <v>13</v>
      </c>
      <c r="D70" s="6" t="s">
        <v>21</v>
      </c>
      <c r="E70" s="6" t="s">
        <v>15</v>
      </c>
      <c r="F70" s="10">
        <v>3796883</v>
      </c>
      <c r="G70" s="6">
        <v>4</v>
      </c>
      <c r="H70" s="6" t="s">
        <v>16</v>
      </c>
      <c r="I70" s="6" t="s">
        <v>17</v>
      </c>
      <c r="J70" s="6" t="s">
        <v>23</v>
      </c>
      <c r="K70" s="6" t="s">
        <v>24</v>
      </c>
      <c r="L70" s="6"/>
      <c r="M70" s="6" t="str">
        <f t="shared" si="1"/>
        <v>30L-50L</v>
      </c>
    </row>
    <row r="71" spans="1:13" x14ac:dyDescent="0.25">
      <c r="A71" s="6" t="s">
        <v>111</v>
      </c>
      <c r="B71" s="7">
        <v>46038.609606481485</v>
      </c>
      <c r="C71" s="6" t="s">
        <v>33</v>
      </c>
      <c r="D71" s="6" t="s">
        <v>21</v>
      </c>
      <c r="E71" s="6" t="s">
        <v>15</v>
      </c>
      <c r="F71" s="10">
        <v>3796710</v>
      </c>
      <c r="G71" s="6">
        <v>5</v>
      </c>
      <c r="H71" s="6" t="s">
        <v>37</v>
      </c>
      <c r="I71" s="6" t="s">
        <v>23</v>
      </c>
      <c r="J71" s="6" t="s">
        <v>23</v>
      </c>
      <c r="K71" s="6" t="s">
        <v>28</v>
      </c>
      <c r="L71" s="6"/>
      <c r="M71" s="6" t="str">
        <f t="shared" si="1"/>
        <v>30L-50L</v>
      </c>
    </row>
    <row r="72" spans="1:13" x14ac:dyDescent="0.25">
      <c r="A72" s="6" t="s">
        <v>112</v>
      </c>
      <c r="B72" s="7">
        <v>46038.835833333331</v>
      </c>
      <c r="C72" s="6" t="s">
        <v>36</v>
      </c>
      <c r="D72" s="6" t="s">
        <v>21</v>
      </c>
      <c r="E72" s="6" t="s">
        <v>22</v>
      </c>
      <c r="F72" s="10">
        <v>8220182</v>
      </c>
      <c r="G72" s="6">
        <v>5</v>
      </c>
      <c r="H72" s="6" t="s">
        <v>16</v>
      </c>
      <c r="I72" s="6" t="s">
        <v>17</v>
      </c>
      <c r="J72" s="6" t="s">
        <v>17</v>
      </c>
      <c r="K72" s="6" t="s">
        <v>24</v>
      </c>
      <c r="L72" s="6"/>
      <c r="M72" s="6" t="str">
        <f t="shared" si="1"/>
        <v>80L-1.2Cr</v>
      </c>
    </row>
    <row r="73" spans="1:13" x14ac:dyDescent="0.25">
      <c r="A73" s="6" t="s">
        <v>113</v>
      </c>
      <c r="B73" s="7">
        <v>46039.062060185184</v>
      </c>
      <c r="C73" s="6" t="s">
        <v>13</v>
      </c>
      <c r="D73" s="6" t="s">
        <v>1059</v>
      </c>
      <c r="E73" s="6" t="s">
        <v>15</v>
      </c>
      <c r="F73" s="10">
        <v>3316462</v>
      </c>
      <c r="G73" s="6">
        <v>3</v>
      </c>
      <c r="H73" s="6" t="s">
        <v>16</v>
      </c>
      <c r="I73" s="6" t="s">
        <v>17</v>
      </c>
      <c r="J73" s="6" t="s">
        <v>23</v>
      </c>
      <c r="K73" s="6" t="s">
        <v>18</v>
      </c>
      <c r="L73" s="6">
        <v>3300000</v>
      </c>
      <c r="M73" s="6" t="str">
        <f t="shared" si="1"/>
        <v>30L-50L</v>
      </c>
    </row>
    <row r="74" spans="1:13" x14ac:dyDescent="0.25">
      <c r="A74" s="6" t="s">
        <v>114</v>
      </c>
      <c r="B74" s="7">
        <v>46039.288287037038</v>
      </c>
      <c r="C74" s="6" t="s">
        <v>13</v>
      </c>
      <c r="D74" s="6" t="s">
        <v>1059</v>
      </c>
      <c r="E74" s="6" t="s">
        <v>15</v>
      </c>
      <c r="F74" s="10">
        <v>3060128</v>
      </c>
      <c r="G74" s="6">
        <v>1</v>
      </c>
      <c r="H74" s="6" t="s">
        <v>16</v>
      </c>
      <c r="I74" s="6" t="s">
        <v>17</v>
      </c>
      <c r="J74" s="6" t="s">
        <v>23</v>
      </c>
      <c r="K74" s="6" t="s">
        <v>24</v>
      </c>
      <c r="L74" s="6"/>
      <c r="M74" s="6" t="str">
        <f t="shared" si="1"/>
        <v>30L-50L</v>
      </c>
    </row>
    <row r="75" spans="1:13" x14ac:dyDescent="0.25">
      <c r="A75" s="6" t="s">
        <v>115</v>
      </c>
      <c r="B75" s="7">
        <v>46039.514513888891</v>
      </c>
      <c r="C75" s="6" t="s">
        <v>36</v>
      </c>
      <c r="D75" s="6" t="s">
        <v>1059</v>
      </c>
      <c r="E75" s="6" t="s">
        <v>27</v>
      </c>
      <c r="F75" s="10">
        <v>2782116</v>
      </c>
      <c r="G75" s="6">
        <v>2</v>
      </c>
      <c r="H75" s="6" t="s">
        <v>16</v>
      </c>
      <c r="I75" s="6" t="s">
        <v>17</v>
      </c>
      <c r="J75" s="6" t="s">
        <v>23</v>
      </c>
      <c r="K75" s="6" t="s">
        <v>24</v>
      </c>
      <c r="L75" s="6"/>
      <c r="M75" s="6" t="str">
        <f t="shared" si="1"/>
        <v>Below 30L</v>
      </c>
    </row>
    <row r="76" spans="1:13" x14ac:dyDescent="0.25">
      <c r="A76" s="6" t="s">
        <v>116</v>
      </c>
      <c r="B76" s="7">
        <v>46039.740740740737</v>
      </c>
      <c r="C76" s="6" t="s">
        <v>30</v>
      </c>
      <c r="D76" s="6" t="s">
        <v>1061</v>
      </c>
      <c r="E76" s="6" t="s">
        <v>27</v>
      </c>
      <c r="F76" s="10">
        <v>1652353</v>
      </c>
      <c r="G76" s="6">
        <v>1</v>
      </c>
      <c r="H76" s="6" t="s">
        <v>37</v>
      </c>
      <c r="I76" s="6" t="s">
        <v>17</v>
      </c>
      <c r="J76" s="6" t="s">
        <v>23</v>
      </c>
      <c r="K76" s="6" t="s">
        <v>24</v>
      </c>
      <c r="L76" s="6"/>
      <c r="M76" s="6" t="str">
        <f t="shared" si="1"/>
        <v>Below 30L</v>
      </c>
    </row>
    <row r="77" spans="1:13" x14ac:dyDescent="0.25">
      <c r="A77" s="6" t="s">
        <v>117</v>
      </c>
      <c r="B77" s="7">
        <v>46039.966967592591</v>
      </c>
      <c r="C77" s="6" t="s">
        <v>30</v>
      </c>
      <c r="D77" s="6" t="s">
        <v>21</v>
      </c>
      <c r="E77" s="6" t="s">
        <v>27</v>
      </c>
      <c r="F77" s="10">
        <v>2838306</v>
      </c>
      <c r="G77" s="6">
        <v>5</v>
      </c>
      <c r="H77" s="6" t="s">
        <v>16</v>
      </c>
      <c r="I77" s="6" t="s">
        <v>17</v>
      </c>
      <c r="J77" s="6" t="s">
        <v>23</v>
      </c>
      <c r="K77" s="6" t="s">
        <v>24</v>
      </c>
      <c r="L77" s="6"/>
      <c r="M77" s="6" t="str">
        <f t="shared" si="1"/>
        <v>Below 30L</v>
      </c>
    </row>
    <row r="78" spans="1:13" x14ac:dyDescent="0.25">
      <c r="A78" s="6" t="s">
        <v>118</v>
      </c>
      <c r="B78" s="7">
        <v>46040.193194444444</v>
      </c>
      <c r="C78" s="6" t="s">
        <v>36</v>
      </c>
      <c r="D78" s="6" t="s">
        <v>21</v>
      </c>
      <c r="E78" s="6" t="s">
        <v>15</v>
      </c>
      <c r="F78" s="10">
        <v>3086346</v>
      </c>
      <c r="G78" s="6">
        <v>3</v>
      </c>
      <c r="H78" s="6" t="s">
        <v>16</v>
      </c>
      <c r="I78" s="6" t="s">
        <v>17</v>
      </c>
      <c r="J78" s="6" t="s">
        <v>23</v>
      </c>
      <c r="K78" s="6" t="s">
        <v>24</v>
      </c>
      <c r="L78" s="6"/>
      <c r="M78" s="6" t="str">
        <f t="shared" si="1"/>
        <v>30L-50L</v>
      </c>
    </row>
    <row r="79" spans="1:13" x14ac:dyDescent="0.25">
      <c r="A79" s="6" t="s">
        <v>119</v>
      </c>
      <c r="B79" s="7">
        <v>46040.419421296298</v>
      </c>
      <c r="C79" s="6" t="s">
        <v>13</v>
      </c>
      <c r="D79" s="6" t="s">
        <v>1062</v>
      </c>
      <c r="E79" s="6" t="s">
        <v>15</v>
      </c>
      <c r="F79" s="10">
        <v>5058686</v>
      </c>
      <c r="G79" s="6">
        <v>4</v>
      </c>
      <c r="H79" s="6" t="s">
        <v>16</v>
      </c>
      <c r="I79" s="6" t="s">
        <v>17</v>
      </c>
      <c r="J79" s="6" t="s">
        <v>17</v>
      </c>
      <c r="K79" s="6" t="s">
        <v>18</v>
      </c>
      <c r="L79" s="6">
        <v>4750000</v>
      </c>
      <c r="M79" s="6" t="str">
        <f t="shared" si="1"/>
        <v>50L-80L</v>
      </c>
    </row>
    <row r="80" spans="1:13" x14ac:dyDescent="0.25">
      <c r="A80" s="6" t="s">
        <v>120</v>
      </c>
      <c r="B80" s="7">
        <v>46040.645648148151</v>
      </c>
      <c r="C80" s="6" t="s">
        <v>26</v>
      </c>
      <c r="D80" s="6" t="s">
        <v>1059</v>
      </c>
      <c r="E80" s="6" t="s">
        <v>27</v>
      </c>
      <c r="F80" s="10">
        <v>7582154</v>
      </c>
      <c r="G80" s="6">
        <v>2</v>
      </c>
      <c r="H80" s="6" t="s">
        <v>16</v>
      </c>
      <c r="I80" s="6" t="s">
        <v>23</v>
      </c>
      <c r="J80" s="6" t="s">
        <v>17</v>
      </c>
      <c r="K80" s="6" t="s">
        <v>28</v>
      </c>
      <c r="L80" s="6"/>
      <c r="M80" s="6" t="str">
        <f t="shared" si="1"/>
        <v>50L-80L</v>
      </c>
    </row>
    <row r="81" spans="1:13" x14ac:dyDescent="0.25">
      <c r="A81" s="6" t="s">
        <v>121</v>
      </c>
      <c r="B81" s="7">
        <v>46040.871874999997</v>
      </c>
      <c r="C81" s="6" t="s">
        <v>13</v>
      </c>
      <c r="D81" s="6" t="s">
        <v>1061</v>
      </c>
      <c r="E81" s="6" t="s">
        <v>22</v>
      </c>
      <c r="F81" s="10">
        <v>14026111</v>
      </c>
      <c r="G81" s="6">
        <v>4</v>
      </c>
      <c r="H81" s="6" t="s">
        <v>16</v>
      </c>
      <c r="I81" s="6" t="s">
        <v>17</v>
      </c>
      <c r="J81" s="6" t="s">
        <v>17</v>
      </c>
      <c r="K81" s="6" t="s">
        <v>18</v>
      </c>
      <c r="L81" s="6">
        <v>13900000</v>
      </c>
      <c r="M81" s="6" t="str">
        <f t="shared" si="1"/>
        <v>Above 1.2Cr</v>
      </c>
    </row>
    <row r="82" spans="1:13" x14ac:dyDescent="0.25">
      <c r="A82" s="6" t="s">
        <v>122</v>
      </c>
      <c r="B82" s="7">
        <v>46041.098101851851</v>
      </c>
      <c r="C82" s="6" t="s">
        <v>36</v>
      </c>
      <c r="D82" s="6" t="s">
        <v>1063</v>
      </c>
      <c r="E82" s="6" t="s">
        <v>15</v>
      </c>
      <c r="F82" s="10">
        <v>4900827</v>
      </c>
      <c r="G82" s="6">
        <v>2</v>
      </c>
      <c r="H82" s="6" t="s">
        <v>16</v>
      </c>
      <c r="I82" s="6" t="s">
        <v>17</v>
      </c>
      <c r="J82" s="6" t="s">
        <v>23</v>
      </c>
      <c r="K82" s="6" t="s">
        <v>24</v>
      </c>
      <c r="L82" s="6"/>
      <c r="M82" s="6" t="str">
        <f t="shared" si="1"/>
        <v>30L-50L</v>
      </c>
    </row>
    <row r="83" spans="1:13" x14ac:dyDescent="0.25">
      <c r="A83" s="6" t="s">
        <v>123</v>
      </c>
      <c r="B83" s="7">
        <v>46041.324328703704</v>
      </c>
      <c r="C83" s="6" t="s">
        <v>30</v>
      </c>
      <c r="D83" s="6" t="s">
        <v>1059</v>
      </c>
      <c r="E83" s="6" t="s">
        <v>15</v>
      </c>
      <c r="F83" s="10">
        <v>3637431</v>
      </c>
      <c r="G83" s="6">
        <v>1</v>
      </c>
      <c r="H83" s="6" t="s">
        <v>16</v>
      </c>
      <c r="I83" s="6" t="s">
        <v>17</v>
      </c>
      <c r="J83" s="6" t="s">
        <v>23</v>
      </c>
      <c r="K83" s="6" t="s">
        <v>24</v>
      </c>
      <c r="L83" s="6"/>
      <c r="M83" s="6" t="str">
        <f t="shared" si="1"/>
        <v>30L-50L</v>
      </c>
    </row>
    <row r="84" spans="1:13" x14ac:dyDescent="0.25">
      <c r="A84" s="6" t="s">
        <v>124</v>
      </c>
      <c r="B84" s="7">
        <v>46041.550555555557</v>
      </c>
      <c r="C84" s="6" t="s">
        <v>26</v>
      </c>
      <c r="D84" s="6" t="s">
        <v>21</v>
      </c>
      <c r="E84" s="6" t="s">
        <v>15</v>
      </c>
      <c r="F84" s="10">
        <v>3362441</v>
      </c>
      <c r="G84" s="6">
        <v>2</v>
      </c>
      <c r="H84" s="6" t="s">
        <v>16</v>
      </c>
      <c r="I84" s="6" t="s">
        <v>23</v>
      </c>
      <c r="J84" s="6" t="s">
        <v>23</v>
      </c>
      <c r="K84" s="6" t="s">
        <v>28</v>
      </c>
      <c r="L84" s="6"/>
      <c r="M84" s="6" t="str">
        <f t="shared" si="1"/>
        <v>30L-50L</v>
      </c>
    </row>
    <row r="85" spans="1:13" x14ac:dyDescent="0.25">
      <c r="A85" s="6" t="s">
        <v>125</v>
      </c>
      <c r="B85" s="7">
        <v>46041.776782407411</v>
      </c>
      <c r="C85" s="6" t="s">
        <v>13</v>
      </c>
      <c r="D85" s="6" t="s">
        <v>1061</v>
      </c>
      <c r="E85" s="6" t="s">
        <v>27</v>
      </c>
      <c r="F85" s="10">
        <v>4836023</v>
      </c>
      <c r="G85" s="6">
        <v>3</v>
      </c>
      <c r="H85" s="6" t="s">
        <v>16</v>
      </c>
      <c r="I85" s="6" t="s">
        <v>23</v>
      </c>
      <c r="J85" s="6" t="s">
        <v>23</v>
      </c>
      <c r="K85" s="6" t="s">
        <v>28</v>
      </c>
      <c r="L85" s="6"/>
      <c r="M85" s="6" t="str">
        <f t="shared" si="1"/>
        <v>30L-50L</v>
      </c>
    </row>
    <row r="86" spans="1:13" x14ac:dyDescent="0.25">
      <c r="A86" s="6" t="s">
        <v>126</v>
      </c>
      <c r="B86" s="7">
        <v>46042.002997685187</v>
      </c>
      <c r="C86" s="6" t="s">
        <v>26</v>
      </c>
      <c r="D86" s="6" t="s">
        <v>1061</v>
      </c>
      <c r="E86" s="6" t="s">
        <v>15</v>
      </c>
      <c r="F86" s="10">
        <v>6445326</v>
      </c>
      <c r="G86" s="6">
        <v>2</v>
      </c>
      <c r="H86" s="6" t="s">
        <v>16</v>
      </c>
      <c r="I86" s="6" t="s">
        <v>23</v>
      </c>
      <c r="J86" s="6" t="s">
        <v>23</v>
      </c>
      <c r="K86" s="6" t="s">
        <v>28</v>
      </c>
      <c r="L86" s="6"/>
      <c r="M86" s="6" t="str">
        <f t="shared" si="1"/>
        <v>50L-80L</v>
      </c>
    </row>
    <row r="87" spans="1:13" x14ac:dyDescent="0.25">
      <c r="A87" s="6" t="s">
        <v>127</v>
      </c>
      <c r="B87" s="7">
        <v>46042.229224537034</v>
      </c>
      <c r="C87" s="6" t="s">
        <v>26</v>
      </c>
      <c r="D87" s="6" t="s">
        <v>1060</v>
      </c>
      <c r="E87" s="6" t="s">
        <v>15</v>
      </c>
      <c r="F87" s="10">
        <v>4008109</v>
      </c>
      <c r="G87" s="6">
        <v>5</v>
      </c>
      <c r="H87" s="6" t="s">
        <v>16</v>
      </c>
      <c r="I87" s="6" t="s">
        <v>17</v>
      </c>
      <c r="J87" s="6" t="s">
        <v>23</v>
      </c>
      <c r="K87" s="6" t="s">
        <v>24</v>
      </c>
      <c r="L87" s="6"/>
      <c r="M87" s="6" t="str">
        <f t="shared" si="1"/>
        <v>30L-50L</v>
      </c>
    </row>
    <row r="88" spans="1:13" x14ac:dyDescent="0.25">
      <c r="A88" s="6" t="s">
        <v>128</v>
      </c>
      <c r="B88" s="7">
        <v>46042.455451388887</v>
      </c>
      <c r="C88" s="6" t="s">
        <v>30</v>
      </c>
      <c r="D88" s="6" t="s">
        <v>1062</v>
      </c>
      <c r="E88" s="6" t="s">
        <v>15</v>
      </c>
      <c r="F88" s="10">
        <v>3698876</v>
      </c>
      <c r="G88" s="6">
        <v>1</v>
      </c>
      <c r="H88" s="6" t="s">
        <v>16</v>
      </c>
      <c r="I88" s="6" t="s">
        <v>17</v>
      </c>
      <c r="J88" s="6" t="s">
        <v>23</v>
      </c>
      <c r="K88" s="6" t="s">
        <v>24</v>
      </c>
      <c r="L88" s="6"/>
      <c r="M88" s="6" t="str">
        <f t="shared" si="1"/>
        <v>30L-50L</v>
      </c>
    </row>
    <row r="89" spans="1:13" x14ac:dyDescent="0.25">
      <c r="A89" s="6" t="s">
        <v>129</v>
      </c>
      <c r="B89" s="7">
        <v>46042.68167824074</v>
      </c>
      <c r="C89" s="6" t="s">
        <v>30</v>
      </c>
      <c r="D89" s="6" t="s">
        <v>1059</v>
      </c>
      <c r="E89" s="6" t="s">
        <v>22</v>
      </c>
      <c r="F89" s="10">
        <v>9556601</v>
      </c>
      <c r="G89" s="6">
        <v>3</v>
      </c>
      <c r="H89" s="6" t="s">
        <v>37</v>
      </c>
      <c r="I89" s="6" t="s">
        <v>17</v>
      </c>
      <c r="J89" s="6" t="s">
        <v>23</v>
      </c>
      <c r="K89" s="6" t="s">
        <v>24</v>
      </c>
      <c r="L89" s="6"/>
      <c r="M89" s="6" t="str">
        <f t="shared" si="1"/>
        <v>80L-1.2Cr</v>
      </c>
    </row>
    <row r="90" spans="1:13" x14ac:dyDescent="0.25">
      <c r="A90" s="6" t="s">
        <v>130</v>
      </c>
      <c r="B90" s="7">
        <v>46042.907905092594</v>
      </c>
      <c r="C90" s="6" t="s">
        <v>36</v>
      </c>
      <c r="D90" s="6" t="s">
        <v>1061</v>
      </c>
      <c r="E90" s="6" t="s">
        <v>27</v>
      </c>
      <c r="F90" s="10">
        <v>2723451</v>
      </c>
      <c r="G90" s="6">
        <v>3</v>
      </c>
      <c r="H90" s="6" t="s">
        <v>37</v>
      </c>
      <c r="I90" s="6" t="s">
        <v>23</v>
      </c>
      <c r="J90" s="6" t="s">
        <v>23</v>
      </c>
      <c r="K90" s="6" t="s">
        <v>28</v>
      </c>
      <c r="L90" s="6"/>
      <c r="M90" s="6" t="str">
        <f t="shared" si="1"/>
        <v>Below 30L</v>
      </c>
    </row>
    <row r="91" spans="1:13" x14ac:dyDescent="0.25">
      <c r="A91" s="6" t="s">
        <v>131</v>
      </c>
      <c r="B91" s="7">
        <v>46043.134131944447</v>
      </c>
      <c r="C91" s="6" t="s">
        <v>20</v>
      </c>
      <c r="D91" s="6" t="s">
        <v>1059</v>
      </c>
      <c r="E91" s="6" t="s">
        <v>15</v>
      </c>
      <c r="F91" s="10">
        <v>8427717</v>
      </c>
      <c r="G91" s="6">
        <v>2</v>
      </c>
      <c r="H91" s="6" t="s">
        <v>16</v>
      </c>
      <c r="I91" s="6" t="s">
        <v>17</v>
      </c>
      <c r="J91" s="6" t="s">
        <v>17</v>
      </c>
      <c r="K91" s="6" t="s">
        <v>24</v>
      </c>
      <c r="L91" s="6"/>
      <c r="M91" s="6" t="str">
        <f t="shared" si="1"/>
        <v>80L-1.2Cr</v>
      </c>
    </row>
    <row r="92" spans="1:13" x14ac:dyDescent="0.25">
      <c r="A92" s="6" t="s">
        <v>132</v>
      </c>
      <c r="B92" s="7">
        <v>46043.360358796293</v>
      </c>
      <c r="C92" s="6" t="s">
        <v>13</v>
      </c>
      <c r="D92" s="6" t="s">
        <v>1061</v>
      </c>
      <c r="E92" s="6" t="s">
        <v>22</v>
      </c>
      <c r="F92" s="10">
        <v>9692504</v>
      </c>
      <c r="G92" s="6">
        <v>4</v>
      </c>
      <c r="H92" s="6" t="s">
        <v>16</v>
      </c>
      <c r="I92" s="6" t="s">
        <v>23</v>
      </c>
      <c r="J92" s="6" t="s">
        <v>23</v>
      </c>
      <c r="K92" s="6" t="s">
        <v>28</v>
      </c>
      <c r="L92" s="6"/>
      <c r="M92" s="6" t="str">
        <f t="shared" si="1"/>
        <v>80L-1.2Cr</v>
      </c>
    </row>
    <row r="93" spans="1:13" x14ac:dyDescent="0.25">
      <c r="A93" s="6" t="s">
        <v>133</v>
      </c>
      <c r="B93" s="7">
        <v>46043.586585648147</v>
      </c>
      <c r="C93" s="6" t="s">
        <v>30</v>
      </c>
      <c r="D93" s="6" t="s">
        <v>1062</v>
      </c>
      <c r="E93" s="6" t="s">
        <v>27</v>
      </c>
      <c r="F93" s="10">
        <v>3887554</v>
      </c>
      <c r="G93" s="6">
        <v>4</v>
      </c>
      <c r="H93" s="6" t="s">
        <v>16</v>
      </c>
      <c r="I93" s="6" t="s">
        <v>17</v>
      </c>
      <c r="J93" s="6" t="s">
        <v>17</v>
      </c>
      <c r="K93" s="6" t="s">
        <v>24</v>
      </c>
      <c r="L93" s="6"/>
      <c r="M93" s="6" t="str">
        <f t="shared" si="1"/>
        <v>30L-50L</v>
      </c>
    </row>
    <row r="94" spans="1:13" x14ac:dyDescent="0.25">
      <c r="A94" s="6" t="s">
        <v>134</v>
      </c>
      <c r="B94" s="7">
        <v>46043.8128125</v>
      </c>
      <c r="C94" s="6" t="s">
        <v>36</v>
      </c>
      <c r="D94" s="6" t="s">
        <v>1062</v>
      </c>
      <c r="E94" s="6" t="s">
        <v>15</v>
      </c>
      <c r="F94" s="10">
        <v>5946251</v>
      </c>
      <c r="G94" s="6">
        <v>4</v>
      </c>
      <c r="H94" s="6" t="s">
        <v>16</v>
      </c>
      <c r="I94" s="6" t="s">
        <v>17</v>
      </c>
      <c r="J94" s="6" t="s">
        <v>17</v>
      </c>
      <c r="K94" s="6" t="s">
        <v>18</v>
      </c>
      <c r="L94" s="6">
        <v>5700000</v>
      </c>
      <c r="M94" s="6" t="str">
        <f t="shared" si="1"/>
        <v>50L-80L</v>
      </c>
    </row>
    <row r="95" spans="1:13" x14ac:dyDescent="0.25">
      <c r="A95" s="6" t="s">
        <v>135</v>
      </c>
      <c r="B95" s="7">
        <v>46044.039039351854</v>
      </c>
      <c r="C95" s="6" t="s">
        <v>20</v>
      </c>
      <c r="D95" s="6" t="s">
        <v>1060</v>
      </c>
      <c r="E95" s="6" t="s">
        <v>15</v>
      </c>
      <c r="F95" s="10">
        <v>5131526</v>
      </c>
      <c r="G95" s="6">
        <v>5</v>
      </c>
      <c r="H95" s="6" t="s">
        <v>16</v>
      </c>
      <c r="I95" s="6" t="s">
        <v>17</v>
      </c>
      <c r="J95" s="6" t="s">
        <v>23</v>
      </c>
      <c r="K95" s="6" t="s">
        <v>24</v>
      </c>
      <c r="L95" s="6"/>
      <c r="M95" s="6" t="str">
        <f t="shared" si="1"/>
        <v>50L-80L</v>
      </c>
    </row>
    <row r="96" spans="1:13" x14ac:dyDescent="0.25">
      <c r="A96" s="6" t="s">
        <v>136</v>
      </c>
      <c r="B96" s="7">
        <v>46044.265266203707</v>
      </c>
      <c r="C96" s="6" t="s">
        <v>36</v>
      </c>
      <c r="D96" s="6" t="s">
        <v>1059</v>
      </c>
      <c r="E96" s="6" t="s">
        <v>15</v>
      </c>
      <c r="F96" s="10">
        <v>3698787</v>
      </c>
      <c r="G96" s="6">
        <v>4</v>
      </c>
      <c r="H96" s="6" t="s">
        <v>16</v>
      </c>
      <c r="I96" s="6" t="s">
        <v>17</v>
      </c>
      <c r="J96" s="6" t="s">
        <v>23</v>
      </c>
      <c r="K96" s="6" t="s">
        <v>24</v>
      </c>
      <c r="L96" s="6"/>
      <c r="M96" s="6" t="str">
        <f t="shared" si="1"/>
        <v>30L-50L</v>
      </c>
    </row>
    <row r="97" spans="1:13" x14ac:dyDescent="0.25">
      <c r="A97" s="6" t="s">
        <v>137</v>
      </c>
      <c r="B97" s="7">
        <v>46044.491493055553</v>
      </c>
      <c r="C97" s="6" t="s">
        <v>20</v>
      </c>
      <c r="D97" s="6" t="s">
        <v>1059</v>
      </c>
      <c r="E97" s="6" t="s">
        <v>22</v>
      </c>
      <c r="F97" s="10">
        <v>11651397</v>
      </c>
      <c r="G97" s="6">
        <v>1</v>
      </c>
      <c r="H97" s="6" t="s">
        <v>16</v>
      </c>
      <c r="I97" s="6" t="s">
        <v>17</v>
      </c>
      <c r="J97" s="6" t="s">
        <v>23</v>
      </c>
      <c r="K97" s="6" t="s">
        <v>24</v>
      </c>
      <c r="L97" s="6"/>
      <c r="M97" s="6" t="str">
        <f t="shared" si="1"/>
        <v>80L-1.2Cr</v>
      </c>
    </row>
    <row r="98" spans="1:13" x14ac:dyDescent="0.25">
      <c r="A98" s="6" t="s">
        <v>138</v>
      </c>
      <c r="B98" s="7">
        <v>46044.717719907407</v>
      </c>
      <c r="C98" s="6" t="s">
        <v>20</v>
      </c>
      <c r="D98" s="6" t="s">
        <v>1059</v>
      </c>
      <c r="E98" s="6" t="s">
        <v>22</v>
      </c>
      <c r="F98" s="10">
        <v>10408242</v>
      </c>
      <c r="G98" s="6">
        <v>4</v>
      </c>
      <c r="H98" s="6" t="s">
        <v>16</v>
      </c>
      <c r="I98" s="6" t="s">
        <v>17</v>
      </c>
      <c r="J98" s="6" t="s">
        <v>17</v>
      </c>
      <c r="K98" s="6" t="s">
        <v>18</v>
      </c>
      <c r="L98" s="6">
        <v>10550000</v>
      </c>
      <c r="M98" s="6" t="str">
        <f t="shared" si="1"/>
        <v>80L-1.2Cr</v>
      </c>
    </row>
    <row r="99" spans="1:13" x14ac:dyDescent="0.25">
      <c r="A99" s="6" t="s">
        <v>139</v>
      </c>
      <c r="B99" s="7">
        <v>46044.94394675926</v>
      </c>
      <c r="C99" s="6" t="s">
        <v>20</v>
      </c>
      <c r="D99" s="6" t="s">
        <v>1059</v>
      </c>
      <c r="E99" s="6" t="s">
        <v>22</v>
      </c>
      <c r="F99" s="10">
        <v>10178998</v>
      </c>
      <c r="G99" s="6">
        <v>2</v>
      </c>
      <c r="H99" s="6" t="s">
        <v>16</v>
      </c>
      <c r="I99" s="6" t="s">
        <v>23</v>
      </c>
      <c r="J99" s="6" t="s">
        <v>23</v>
      </c>
      <c r="K99" s="6" t="s">
        <v>28</v>
      </c>
      <c r="L99" s="6"/>
      <c r="M99" s="6" t="str">
        <f t="shared" si="1"/>
        <v>80L-1.2Cr</v>
      </c>
    </row>
    <row r="100" spans="1:13" x14ac:dyDescent="0.25">
      <c r="A100" s="6" t="s">
        <v>140</v>
      </c>
      <c r="B100" s="7">
        <v>46045.170173611114</v>
      </c>
      <c r="C100" s="6" t="s">
        <v>13</v>
      </c>
      <c r="D100" s="6" t="s">
        <v>1063</v>
      </c>
      <c r="E100" s="6" t="s">
        <v>22</v>
      </c>
      <c r="F100" s="10">
        <v>9413082</v>
      </c>
      <c r="G100" s="6">
        <v>1</v>
      </c>
      <c r="H100" s="6" t="s">
        <v>16</v>
      </c>
      <c r="I100" s="6" t="s">
        <v>17</v>
      </c>
      <c r="J100" s="6" t="s">
        <v>17</v>
      </c>
      <c r="K100" s="6" t="s">
        <v>24</v>
      </c>
      <c r="L100" s="6"/>
      <c r="M100" s="6" t="str">
        <f t="shared" si="1"/>
        <v>80L-1.2Cr</v>
      </c>
    </row>
    <row r="101" spans="1:13" x14ac:dyDescent="0.25">
      <c r="A101" s="6" t="s">
        <v>141</v>
      </c>
      <c r="B101" s="7">
        <v>46045.39640046296</v>
      </c>
      <c r="C101" s="6" t="s">
        <v>13</v>
      </c>
      <c r="D101" s="6" t="s">
        <v>21</v>
      </c>
      <c r="E101" s="6" t="s">
        <v>15</v>
      </c>
      <c r="F101" s="10">
        <v>4137411</v>
      </c>
      <c r="G101" s="6">
        <v>1</v>
      </c>
      <c r="H101" s="6" t="s">
        <v>16</v>
      </c>
      <c r="I101" s="6" t="s">
        <v>23</v>
      </c>
      <c r="J101" s="6" t="s">
        <v>17</v>
      </c>
      <c r="K101" s="6" t="s">
        <v>28</v>
      </c>
      <c r="L101" s="6"/>
      <c r="M101" s="6" t="str">
        <f t="shared" si="1"/>
        <v>30L-50L</v>
      </c>
    </row>
    <row r="102" spans="1:13" x14ac:dyDescent="0.25">
      <c r="A102" s="6" t="s">
        <v>142</v>
      </c>
      <c r="B102" s="7">
        <v>46045.622627314813</v>
      </c>
      <c r="C102" s="6" t="s">
        <v>13</v>
      </c>
      <c r="D102" s="6" t="s">
        <v>1059</v>
      </c>
      <c r="E102" s="6" t="s">
        <v>27</v>
      </c>
      <c r="F102" s="10">
        <v>4745031</v>
      </c>
      <c r="G102" s="6">
        <v>4</v>
      </c>
      <c r="H102" s="6" t="s">
        <v>16</v>
      </c>
      <c r="I102" s="6" t="s">
        <v>17</v>
      </c>
      <c r="J102" s="6" t="s">
        <v>17</v>
      </c>
      <c r="K102" s="6" t="s">
        <v>18</v>
      </c>
      <c r="L102" s="6">
        <v>4900000</v>
      </c>
      <c r="M102" s="6" t="str">
        <f t="shared" si="1"/>
        <v>30L-50L</v>
      </c>
    </row>
    <row r="103" spans="1:13" x14ac:dyDescent="0.25">
      <c r="A103" s="6" t="s">
        <v>143</v>
      </c>
      <c r="B103" s="7">
        <v>46045.848854166667</v>
      </c>
      <c r="C103" s="6" t="s">
        <v>30</v>
      </c>
      <c r="D103" s="6" t="s">
        <v>1061</v>
      </c>
      <c r="E103" s="6" t="s">
        <v>15</v>
      </c>
      <c r="F103" s="10">
        <v>3293851</v>
      </c>
      <c r="G103" s="6">
        <v>4</v>
      </c>
      <c r="H103" s="6" t="s">
        <v>16</v>
      </c>
      <c r="I103" s="6" t="s">
        <v>17</v>
      </c>
      <c r="J103" s="6" t="s">
        <v>17</v>
      </c>
      <c r="K103" s="6" t="s">
        <v>24</v>
      </c>
      <c r="L103" s="6"/>
      <c r="M103" s="6" t="str">
        <f t="shared" si="1"/>
        <v>30L-50L</v>
      </c>
    </row>
    <row r="104" spans="1:13" x14ac:dyDescent="0.25">
      <c r="A104" s="6" t="s">
        <v>144</v>
      </c>
      <c r="B104" s="7">
        <v>46046.075069444443</v>
      </c>
      <c r="C104" s="6" t="s">
        <v>26</v>
      </c>
      <c r="D104" s="6" t="s">
        <v>1061</v>
      </c>
      <c r="E104" s="6" t="s">
        <v>15</v>
      </c>
      <c r="F104" s="10">
        <v>4205046</v>
      </c>
      <c r="G104" s="6">
        <v>1</v>
      </c>
      <c r="H104" s="6" t="s">
        <v>16</v>
      </c>
      <c r="I104" s="6" t="s">
        <v>23</v>
      </c>
      <c r="J104" s="6" t="s">
        <v>17</v>
      </c>
      <c r="K104" s="6" t="s">
        <v>18</v>
      </c>
      <c r="L104" s="6">
        <v>4250000</v>
      </c>
      <c r="M104" s="6" t="str">
        <f t="shared" si="1"/>
        <v>30L-50L</v>
      </c>
    </row>
    <row r="105" spans="1:13" x14ac:dyDescent="0.25">
      <c r="A105" s="6" t="s">
        <v>145</v>
      </c>
      <c r="B105" s="7">
        <v>46046.301296296297</v>
      </c>
      <c r="C105" s="6" t="s">
        <v>20</v>
      </c>
      <c r="D105" s="6" t="s">
        <v>1061</v>
      </c>
      <c r="E105" s="6" t="s">
        <v>22</v>
      </c>
      <c r="F105" s="10">
        <v>11722438</v>
      </c>
      <c r="G105" s="6">
        <v>4</v>
      </c>
      <c r="H105" s="6" t="s">
        <v>16</v>
      </c>
      <c r="I105" s="6" t="s">
        <v>23</v>
      </c>
      <c r="J105" s="6" t="s">
        <v>23</v>
      </c>
      <c r="K105" s="6" t="s">
        <v>28</v>
      </c>
      <c r="L105" s="6"/>
      <c r="M105" s="6" t="str">
        <f t="shared" si="1"/>
        <v>80L-1.2Cr</v>
      </c>
    </row>
    <row r="106" spans="1:13" x14ac:dyDescent="0.25">
      <c r="A106" s="6" t="s">
        <v>146</v>
      </c>
      <c r="B106" s="7">
        <v>46046.52752314815</v>
      </c>
      <c r="C106" s="6" t="s">
        <v>33</v>
      </c>
      <c r="D106" s="6" t="s">
        <v>1061</v>
      </c>
      <c r="E106" s="6" t="s">
        <v>22</v>
      </c>
      <c r="F106" s="10">
        <v>10522785</v>
      </c>
      <c r="G106" s="6">
        <v>5</v>
      </c>
      <c r="H106" s="6" t="s">
        <v>16</v>
      </c>
      <c r="I106" s="6" t="s">
        <v>17</v>
      </c>
      <c r="J106" s="6" t="s">
        <v>17</v>
      </c>
      <c r="K106" s="6" t="s">
        <v>24</v>
      </c>
      <c r="L106" s="6"/>
      <c r="M106" s="6" t="str">
        <f t="shared" si="1"/>
        <v>80L-1.2Cr</v>
      </c>
    </row>
    <row r="107" spans="1:13" x14ac:dyDescent="0.25">
      <c r="A107" s="6" t="s">
        <v>147</v>
      </c>
      <c r="B107" s="7">
        <v>46046.753750000003</v>
      </c>
      <c r="C107" s="6" t="s">
        <v>26</v>
      </c>
      <c r="D107" s="6" t="s">
        <v>1059</v>
      </c>
      <c r="E107" s="6" t="s">
        <v>15</v>
      </c>
      <c r="F107" s="10">
        <v>8872949</v>
      </c>
      <c r="G107" s="6">
        <v>1</v>
      </c>
      <c r="H107" s="6" t="s">
        <v>16</v>
      </c>
      <c r="I107" s="6" t="s">
        <v>23</v>
      </c>
      <c r="J107" s="6" t="s">
        <v>23</v>
      </c>
      <c r="K107" s="6" t="s">
        <v>28</v>
      </c>
      <c r="L107" s="6"/>
      <c r="M107" s="6" t="str">
        <f t="shared" si="1"/>
        <v>80L-1.2Cr</v>
      </c>
    </row>
    <row r="108" spans="1:13" x14ac:dyDescent="0.25">
      <c r="A108" s="6" t="s">
        <v>148</v>
      </c>
      <c r="B108" s="7">
        <v>46046.97997685185</v>
      </c>
      <c r="C108" s="6" t="s">
        <v>20</v>
      </c>
      <c r="D108" s="6" t="s">
        <v>21</v>
      </c>
      <c r="E108" s="6" t="s">
        <v>27</v>
      </c>
      <c r="F108" s="10">
        <v>2270692</v>
      </c>
      <c r="G108" s="6">
        <v>1</v>
      </c>
      <c r="H108" s="6" t="s">
        <v>16</v>
      </c>
      <c r="I108" s="6" t="s">
        <v>23</v>
      </c>
      <c r="J108" s="6" t="s">
        <v>17</v>
      </c>
      <c r="K108" s="6" t="s">
        <v>28</v>
      </c>
      <c r="L108" s="6"/>
      <c r="M108" s="6" t="str">
        <f t="shared" si="1"/>
        <v>Below 30L</v>
      </c>
    </row>
    <row r="109" spans="1:13" x14ac:dyDescent="0.25">
      <c r="A109" s="6" t="s">
        <v>149</v>
      </c>
      <c r="B109" s="7">
        <v>46047.206203703703</v>
      </c>
      <c r="C109" s="6" t="s">
        <v>36</v>
      </c>
      <c r="D109" s="6" t="s">
        <v>1063</v>
      </c>
      <c r="E109" s="6" t="s">
        <v>27</v>
      </c>
      <c r="F109" s="10">
        <v>3637788</v>
      </c>
      <c r="G109" s="6">
        <v>4</v>
      </c>
      <c r="H109" s="6" t="s">
        <v>16</v>
      </c>
      <c r="I109" s="6" t="s">
        <v>23</v>
      </c>
      <c r="J109" s="6" t="s">
        <v>23</v>
      </c>
      <c r="K109" s="6" t="s">
        <v>28</v>
      </c>
      <c r="L109" s="6"/>
      <c r="M109" s="6" t="str">
        <f t="shared" si="1"/>
        <v>30L-50L</v>
      </c>
    </row>
    <row r="110" spans="1:13" x14ac:dyDescent="0.25">
      <c r="A110" s="6" t="s">
        <v>150</v>
      </c>
      <c r="B110" s="7">
        <v>46047.432430555556</v>
      </c>
      <c r="C110" s="6" t="s">
        <v>26</v>
      </c>
      <c r="D110" s="6" t="s">
        <v>1062</v>
      </c>
      <c r="E110" s="6" t="s">
        <v>15</v>
      </c>
      <c r="F110" s="10">
        <v>5972967</v>
      </c>
      <c r="G110" s="6">
        <v>2</v>
      </c>
      <c r="H110" s="6" t="s">
        <v>16</v>
      </c>
      <c r="I110" s="6" t="s">
        <v>17</v>
      </c>
      <c r="J110" s="6" t="s">
        <v>23</v>
      </c>
      <c r="K110" s="6" t="s">
        <v>24</v>
      </c>
      <c r="L110" s="6"/>
      <c r="M110" s="6" t="str">
        <f t="shared" si="1"/>
        <v>50L-80L</v>
      </c>
    </row>
    <row r="111" spans="1:13" x14ac:dyDescent="0.25">
      <c r="A111" s="6" t="s">
        <v>151</v>
      </c>
      <c r="B111" s="7">
        <v>46047.65865740741</v>
      </c>
      <c r="C111" s="6" t="s">
        <v>13</v>
      </c>
      <c r="D111" s="6" t="s">
        <v>1059</v>
      </c>
      <c r="E111" s="6" t="s">
        <v>27</v>
      </c>
      <c r="F111" s="10">
        <v>4358127</v>
      </c>
      <c r="G111" s="6">
        <v>3</v>
      </c>
      <c r="H111" s="6" t="s">
        <v>16</v>
      </c>
      <c r="I111" s="6" t="s">
        <v>23</v>
      </c>
      <c r="J111" s="6" t="s">
        <v>23</v>
      </c>
      <c r="K111" s="6" t="s">
        <v>28</v>
      </c>
      <c r="L111" s="6"/>
      <c r="M111" s="6" t="str">
        <f t="shared" si="1"/>
        <v>30L-50L</v>
      </c>
    </row>
    <row r="112" spans="1:13" x14ac:dyDescent="0.25">
      <c r="A112" s="6" t="s">
        <v>152</v>
      </c>
      <c r="B112" s="7">
        <v>46047.884884259256</v>
      </c>
      <c r="C112" s="6" t="s">
        <v>26</v>
      </c>
      <c r="D112" s="6" t="s">
        <v>1063</v>
      </c>
      <c r="E112" s="6" t="s">
        <v>15</v>
      </c>
      <c r="F112" s="10">
        <v>4844867</v>
      </c>
      <c r="G112" s="6">
        <v>1</v>
      </c>
      <c r="H112" s="6" t="s">
        <v>16</v>
      </c>
      <c r="I112" s="6" t="s">
        <v>23</v>
      </c>
      <c r="J112" s="6" t="s">
        <v>23</v>
      </c>
      <c r="K112" s="6" t="s">
        <v>28</v>
      </c>
      <c r="L112" s="6"/>
      <c r="M112" s="6" t="str">
        <f t="shared" si="1"/>
        <v>30L-50L</v>
      </c>
    </row>
    <row r="113" spans="1:13" x14ac:dyDescent="0.25">
      <c r="A113" s="6" t="s">
        <v>153</v>
      </c>
      <c r="B113" s="7">
        <v>46048.111111111109</v>
      </c>
      <c r="C113" s="6" t="s">
        <v>13</v>
      </c>
      <c r="D113" s="6" t="s">
        <v>1059</v>
      </c>
      <c r="E113" s="6" t="s">
        <v>15</v>
      </c>
      <c r="F113" s="10">
        <v>5152417</v>
      </c>
      <c r="G113" s="6">
        <v>2</v>
      </c>
      <c r="H113" s="6" t="s">
        <v>16</v>
      </c>
      <c r="I113" s="6" t="s">
        <v>23</v>
      </c>
      <c r="J113" s="6" t="s">
        <v>23</v>
      </c>
      <c r="K113" s="6" t="s">
        <v>28</v>
      </c>
      <c r="L113" s="6"/>
      <c r="M113" s="6" t="str">
        <f t="shared" si="1"/>
        <v>50L-80L</v>
      </c>
    </row>
    <row r="114" spans="1:13" x14ac:dyDescent="0.25">
      <c r="A114" s="6" t="s">
        <v>154</v>
      </c>
      <c r="B114" s="7">
        <v>46048.337337962963</v>
      </c>
      <c r="C114" s="6" t="s">
        <v>33</v>
      </c>
      <c r="D114" s="6" t="s">
        <v>1059</v>
      </c>
      <c r="E114" s="6" t="s">
        <v>15</v>
      </c>
      <c r="F114" s="10">
        <v>3676585</v>
      </c>
      <c r="G114" s="6">
        <v>4</v>
      </c>
      <c r="H114" s="6" t="s">
        <v>37</v>
      </c>
      <c r="I114" s="6" t="s">
        <v>23</v>
      </c>
      <c r="J114" s="6" t="s">
        <v>23</v>
      </c>
      <c r="K114" s="6" t="s">
        <v>28</v>
      </c>
      <c r="L114" s="6"/>
      <c r="M114" s="6" t="str">
        <f t="shared" si="1"/>
        <v>30L-50L</v>
      </c>
    </row>
    <row r="115" spans="1:13" x14ac:dyDescent="0.25">
      <c r="A115" s="6" t="s">
        <v>155</v>
      </c>
      <c r="B115" s="7">
        <v>46048.563564814816</v>
      </c>
      <c r="C115" s="6" t="s">
        <v>36</v>
      </c>
      <c r="D115" s="6" t="s">
        <v>1060</v>
      </c>
      <c r="E115" s="6" t="s">
        <v>27</v>
      </c>
      <c r="F115" s="10">
        <v>4892629</v>
      </c>
      <c r="G115" s="6">
        <v>3</v>
      </c>
      <c r="H115" s="6" t="s">
        <v>16</v>
      </c>
      <c r="I115" s="6" t="s">
        <v>17</v>
      </c>
      <c r="J115" s="6" t="s">
        <v>17</v>
      </c>
      <c r="K115" s="6" t="s">
        <v>18</v>
      </c>
      <c r="L115" s="6">
        <v>4950000</v>
      </c>
      <c r="M115" s="6" t="str">
        <f t="shared" si="1"/>
        <v>30L-50L</v>
      </c>
    </row>
    <row r="116" spans="1:13" x14ac:dyDescent="0.25">
      <c r="A116" s="6" t="s">
        <v>156</v>
      </c>
      <c r="B116" s="7">
        <v>46048.78979166667</v>
      </c>
      <c r="C116" s="6" t="s">
        <v>30</v>
      </c>
      <c r="D116" s="6" t="s">
        <v>1060</v>
      </c>
      <c r="E116" s="6" t="s">
        <v>22</v>
      </c>
      <c r="F116" s="10">
        <v>10492570</v>
      </c>
      <c r="G116" s="6">
        <v>4</v>
      </c>
      <c r="H116" s="6" t="s">
        <v>16</v>
      </c>
      <c r="I116" s="6" t="s">
        <v>17</v>
      </c>
      <c r="J116" s="6" t="s">
        <v>23</v>
      </c>
      <c r="K116" s="6" t="s">
        <v>24</v>
      </c>
      <c r="L116" s="6"/>
      <c r="M116" s="6" t="str">
        <f t="shared" si="1"/>
        <v>80L-1.2Cr</v>
      </c>
    </row>
    <row r="117" spans="1:13" x14ac:dyDescent="0.25">
      <c r="A117" s="6" t="s">
        <v>157</v>
      </c>
      <c r="B117" s="7">
        <v>46049.016018518516</v>
      </c>
      <c r="C117" s="6" t="s">
        <v>36</v>
      </c>
      <c r="D117" s="6" t="s">
        <v>1060</v>
      </c>
      <c r="E117" s="6" t="s">
        <v>15</v>
      </c>
      <c r="F117" s="10">
        <v>5489337</v>
      </c>
      <c r="G117" s="6">
        <v>5</v>
      </c>
      <c r="H117" s="6" t="s">
        <v>37</v>
      </c>
      <c r="I117" s="6" t="s">
        <v>23</v>
      </c>
      <c r="J117" s="6" t="s">
        <v>23</v>
      </c>
      <c r="K117" s="6" t="s">
        <v>28</v>
      </c>
      <c r="L117" s="6"/>
      <c r="M117" s="6" t="str">
        <f t="shared" si="1"/>
        <v>50L-80L</v>
      </c>
    </row>
    <row r="118" spans="1:13" x14ac:dyDescent="0.25">
      <c r="A118" s="6" t="s">
        <v>158</v>
      </c>
      <c r="B118" s="7">
        <v>46049.242245370369</v>
      </c>
      <c r="C118" s="6" t="s">
        <v>36</v>
      </c>
      <c r="D118" s="6" t="s">
        <v>1059</v>
      </c>
      <c r="E118" s="6" t="s">
        <v>15</v>
      </c>
      <c r="F118" s="10">
        <v>5529934</v>
      </c>
      <c r="G118" s="6">
        <v>4</v>
      </c>
      <c r="H118" s="6" t="s">
        <v>37</v>
      </c>
      <c r="I118" s="6" t="s">
        <v>23</v>
      </c>
      <c r="J118" s="6" t="s">
        <v>23</v>
      </c>
      <c r="K118" s="6" t="s">
        <v>28</v>
      </c>
      <c r="L118" s="6"/>
      <c r="M118" s="6" t="str">
        <f t="shared" si="1"/>
        <v>50L-80L</v>
      </c>
    </row>
    <row r="119" spans="1:13" x14ac:dyDescent="0.25">
      <c r="A119" s="6" t="s">
        <v>159</v>
      </c>
      <c r="B119" s="7">
        <v>46049.468472222223</v>
      </c>
      <c r="C119" s="6" t="s">
        <v>13</v>
      </c>
      <c r="D119" s="6" t="s">
        <v>1061</v>
      </c>
      <c r="E119" s="6" t="s">
        <v>22</v>
      </c>
      <c r="F119" s="10">
        <v>17160325</v>
      </c>
      <c r="G119" s="6">
        <v>3</v>
      </c>
      <c r="H119" s="6" t="s">
        <v>16</v>
      </c>
      <c r="I119" s="6" t="s">
        <v>17</v>
      </c>
      <c r="J119" s="6" t="s">
        <v>17</v>
      </c>
      <c r="K119" s="6" t="s">
        <v>18</v>
      </c>
      <c r="L119" s="6">
        <v>16950000</v>
      </c>
      <c r="M119" s="6" t="str">
        <f t="shared" si="1"/>
        <v>Above 1.2Cr</v>
      </c>
    </row>
    <row r="120" spans="1:13" x14ac:dyDescent="0.25">
      <c r="A120" s="6" t="s">
        <v>160</v>
      </c>
      <c r="B120" s="7">
        <v>46049.694699074076</v>
      </c>
      <c r="C120" s="6" t="s">
        <v>36</v>
      </c>
      <c r="D120" s="6" t="s">
        <v>1059</v>
      </c>
      <c r="E120" s="6" t="s">
        <v>15</v>
      </c>
      <c r="F120" s="10">
        <v>4129833</v>
      </c>
      <c r="G120" s="6">
        <v>1</v>
      </c>
      <c r="H120" s="6" t="s">
        <v>16</v>
      </c>
      <c r="I120" s="6" t="s">
        <v>17</v>
      </c>
      <c r="J120" s="6" t="s">
        <v>17</v>
      </c>
      <c r="K120" s="6" t="s">
        <v>18</v>
      </c>
      <c r="L120" s="6">
        <v>4200000</v>
      </c>
      <c r="M120" s="6" t="str">
        <f t="shared" si="1"/>
        <v>30L-50L</v>
      </c>
    </row>
    <row r="121" spans="1:13" x14ac:dyDescent="0.25">
      <c r="A121" s="6" t="s">
        <v>161</v>
      </c>
      <c r="B121" s="7">
        <v>46049.920925925922</v>
      </c>
      <c r="C121" s="6" t="s">
        <v>20</v>
      </c>
      <c r="D121" s="6" t="s">
        <v>1059</v>
      </c>
      <c r="E121" s="6" t="s">
        <v>27</v>
      </c>
      <c r="F121" s="10">
        <v>2952879</v>
      </c>
      <c r="G121" s="6">
        <v>3</v>
      </c>
      <c r="H121" s="6" t="s">
        <v>16</v>
      </c>
      <c r="I121" s="6" t="s">
        <v>23</v>
      </c>
      <c r="J121" s="6" t="s">
        <v>23</v>
      </c>
      <c r="K121" s="6" t="s">
        <v>28</v>
      </c>
      <c r="L121" s="6"/>
      <c r="M121" s="6" t="str">
        <f t="shared" si="1"/>
        <v>Below 30L</v>
      </c>
    </row>
    <row r="122" spans="1:13" x14ac:dyDescent="0.25">
      <c r="A122" s="6" t="s">
        <v>162</v>
      </c>
      <c r="B122" s="7">
        <v>46050.147152777776</v>
      </c>
      <c r="C122" s="6" t="s">
        <v>36</v>
      </c>
      <c r="D122" s="6" t="s">
        <v>1042</v>
      </c>
      <c r="E122" s="6" t="s">
        <v>27</v>
      </c>
      <c r="F122" s="10">
        <v>5124117</v>
      </c>
      <c r="G122" s="6">
        <v>1</v>
      </c>
      <c r="H122" s="6" t="s">
        <v>16</v>
      </c>
      <c r="I122" s="6" t="s">
        <v>17</v>
      </c>
      <c r="J122" s="6" t="s">
        <v>17</v>
      </c>
      <c r="K122" s="6" t="s">
        <v>24</v>
      </c>
      <c r="L122" s="6"/>
      <c r="M122" s="6" t="str">
        <f t="shared" si="1"/>
        <v>50L-80L</v>
      </c>
    </row>
    <row r="123" spans="1:13" x14ac:dyDescent="0.25">
      <c r="A123" s="6" t="s">
        <v>163</v>
      </c>
      <c r="B123" s="7">
        <v>46050.373368055552</v>
      </c>
      <c r="C123" s="6" t="s">
        <v>36</v>
      </c>
      <c r="D123" s="6" t="s">
        <v>1061</v>
      </c>
      <c r="E123" s="6" t="s">
        <v>15</v>
      </c>
      <c r="F123" s="10">
        <v>8614566</v>
      </c>
      <c r="G123" s="6">
        <v>4</v>
      </c>
      <c r="H123" s="6" t="s">
        <v>16</v>
      </c>
      <c r="I123" s="6" t="s">
        <v>17</v>
      </c>
      <c r="J123" s="6" t="s">
        <v>23</v>
      </c>
      <c r="K123" s="6" t="s">
        <v>24</v>
      </c>
      <c r="L123" s="6"/>
      <c r="M123" s="6" t="str">
        <f t="shared" si="1"/>
        <v>80L-1.2Cr</v>
      </c>
    </row>
    <row r="124" spans="1:13" x14ac:dyDescent="0.25">
      <c r="A124" s="6" t="s">
        <v>164</v>
      </c>
      <c r="B124" s="7">
        <v>46050.599594907406</v>
      </c>
      <c r="C124" s="6" t="s">
        <v>26</v>
      </c>
      <c r="D124" s="6" t="s">
        <v>1061</v>
      </c>
      <c r="E124" s="6" t="s">
        <v>27</v>
      </c>
      <c r="F124" s="10">
        <v>3870947</v>
      </c>
      <c r="G124" s="6">
        <v>2</v>
      </c>
      <c r="H124" s="6" t="s">
        <v>16</v>
      </c>
      <c r="I124" s="6" t="s">
        <v>17</v>
      </c>
      <c r="J124" s="6" t="s">
        <v>17</v>
      </c>
      <c r="K124" s="6" t="s">
        <v>18</v>
      </c>
      <c r="L124" s="6">
        <v>3750000</v>
      </c>
      <c r="M124" s="6" t="str">
        <f t="shared" si="1"/>
        <v>30L-50L</v>
      </c>
    </row>
    <row r="125" spans="1:13" x14ac:dyDescent="0.25">
      <c r="A125" s="6" t="s">
        <v>165</v>
      </c>
      <c r="B125" s="7">
        <v>46050.825821759259</v>
      </c>
      <c r="C125" s="6" t="s">
        <v>13</v>
      </c>
      <c r="D125" s="6" t="s">
        <v>1063</v>
      </c>
      <c r="E125" s="6" t="s">
        <v>15</v>
      </c>
      <c r="F125" s="10">
        <v>3493992</v>
      </c>
      <c r="G125" s="6">
        <v>3</v>
      </c>
      <c r="H125" s="6" t="s">
        <v>16</v>
      </c>
      <c r="I125" s="6" t="s">
        <v>17</v>
      </c>
      <c r="J125" s="6" t="s">
        <v>23</v>
      </c>
      <c r="K125" s="6" t="s">
        <v>24</v>
      </c>
      <c r="L125" s="6"/>
      <c r="M125" s="6" t="str">
        <f t="shared" si="1"/>
        <v>30L-50L</v>
      </c>
    </row>
    <row r="126" spans="1:13" x14ac:dyDescent="0.25">
      <c r="A126" s="6" t="s">
        <v>166</v>
      </c>
      <c r="B126" s="7">
        <v>46051.052048611113</v>
      </c>
      <c r="C126" s="6" t="s">
        <v>26</v>
      </c>
      <c r="D126" s="6" t="s">
        <v>1062</v>
      </c>
      <c r="E126" s="6" t="s">
        <v>27</v>
      </c>
      <c r="F126" s="10">
        <v>5785834</v>
      </c>
      <c r="G126" s="6">
        <v>2</v>
      </c>
      <c r="H126" s="6" t="s">
        <v>37</v>
      </c>
      <c r="I126" s="6" t="s">
        <v>23</v>
      </c>
      <c r="J126" s="6" t="s">
        <v>23</v>
      </c>
      <c r="K126" s="6" t="s">
        <v>28</v>
      </c>
      <c r="L126" s="6"/>
      <c r="M126" s="6" t="str">
        <f t="shared" si="1"/>
        <v>50L-80L</v>
      </c>
    </row>
    <row r="127" spans="1:13" x14ac:dyDescent="0.25">
      <c r="A127" s="6" t="s">
        <v>167</v>
      </c>
      <c r="B127" s="7">
        <v>46051.278275462966</v>
      </c>
      <c r="C127" s="6" t="s">
        <v>20</v>
      </c>
      <c r="D127" s="6" t="s">
        <v>1060</v>
      </c>
      <c r="E127" s="6" t="s">
        <v>22</v>
      </c>
      <c r="F127" s="10">
        <v>16429900</v>
      </c>
      <c r="G127" s="6">
        <v>4</v>
      </c>
      <c r="H127" s="6" t="s">
        <v>37</v>
      </c>
      <c r="I127" s="6" t="s">
        <v>23</v>
      </c>
      <c r="J127" s="6" t="s">
        <v>23</v>
      </c>
      <c r="K127" s="6" t="s">
        <v>28</v>
      </c>
      <c r="L127" s="6"/>
      <c r="M127" s="6" t="str">
        <f t="shared" si="1"/>
        <v>Above 1.2Cr</v>
      </c>
    </row>
    <row r="128" spans="1:13" x14ac:dyDescent="0.25">
      <c r="A128" s="6" t="s">
        <v>168</v>
      </c>
      <c r="B128" s="7">
        <v>46051.504502314812</v>
      </c>
      <c r="C128" s="6" t="s">
        <v>36</v>
      </c>
      <c r="D128" s="6" t="s">
        <v>1059</v>
      </c>
      <c r="E128" s="6" t="s">
        <v>22</v>
      </c>
      <c r="F128" s="10">
        <v>13327043</v>
      </c>
      <c r="G128" s="6">
        <v>5</v>
      </c>
      <c r="H128" s="6" t="s">
        <v>16</v>
      </c>
      <c r="I128" s="6" t="s">
        <v>17</v>
      </c>
      <c r="J128" s="6" t="s">
        <v>23</v>
      </c>
      <c r="K128" s="6" t="s">
        <v>24</v>
      </c>
      <c r="L128" s="6"/>
      <c r="M128" s="6" t="str">
        <f t="shared" si="1"/>
        <v>Above 1.2Cr</v>
      </c>
    </row>
    <row r="129" spans="1:13" x14ac:dyDescent="0.25">
      <c r="A129" s="6" t="s">
        <v>169</v>
      </c>
      <c r="B129" s="7">
        <v>46051.730729166666</v>
      </c>
      <c r="C129" s="6" t="s">
        <v>36</v>
      </c>
      <c r="D129" s="6" t="s">
        <v>21</v>
      </c>
      <c r="E129" s="6" t="s">
        <v>15</v>
      </c>
      <c r="F129" s="10">
        <v>3289662</v>
      </c>
      <c r="G129" s="6">
        <v>2</v>
      </c>
      <c r="H129" s="6" t="s">
        <v>16</v>
      </c>
      <c r="I129" s="6" t="s">
        <v>17</v>
      </c>
      <c r="J129" s="6" t="s">
        <v>17</v>
      </c>
      <c r="K129" s="6" t="s">
        <v>24</v>
      </c>
      <c r="L129" s="6"/>
      <c r="M129" s="6" t="str">
        <f t="shared" si="1"/>
        <v>30L-50L</v>
      </c>
    </row>
    <row r="130" spans="1:13" x14ac:dyDescent="0.25">
      <c r="A130" s="6" t="s">
        <v>170</v>
      </c>
      <c r="B130" s="7">
        <v>46051.956956018519</v>
      </c>
      <c r="C130" s="6" t="s">
        <v>13</v>
      </c>
      <c r="D130" s="6" t="s">
        <v>21</v>
      </c>
      <c r="E130" s="6" t="s">
        <v>27</v>
      </c>
      <c r="F130" s="10">
        <v>3898333</v>
      </c>
      <c r="G130" s="6">
        <v>5</v>
      </c>
      <c r="H130" s="6" t="s">
        <v>16</v>
      </c>
      <c r="I130" s="6" t="s">
        <v>17</v>
      </c>
      <c r="J130" s="6" t="s">
        <v>17</v>
      </c>
      <c r="K130" s="6" t="s">
        <v>18</v>
      </c>
      <c r="L130" s="6">
        <v>3900000</v>
      </c>
      <c r="M130" s="6" t="str">
        <f t="shared" ref="M130:M193" si="2">IF(F130&lt;3000000,"Below 30L",IF(F130&lt;5000000,"30L-50L",IF(F130&lt;8000000,"50L-80L",IF(F130&lt;12000000,"80L-1.2Cr","Above 1.2Cr"))))</f>
        <v>30L-50L</v>
      </c>
    </row>
    <row r="131" spans="1:13" x14ac:dyDescent="0.25">
      <c r="A131" s="6" t="s">
        <v>171</v>
      </c>
      <c r="B131" s="7">
        <v>46052.183182870373</v>
      </c>
      <c r="C131" s="6" t="s">
        <v>20</v>
      </c>
      <c r="D131" s="6" t="s">
        <v>1059</v>
      </c>
      <c r="E131" s="6" t="s">
        <v>15</v>
      </c>
      <c r="F131" s="10">
        <v>6428791</v>
      </c>
      <c r="G131" s="6">
        <v>2</v>
      </c>
      <c r="H131" s="6" t="s">
        <v>37</v>
      </c>
      <c r="I131" s="6" t="s">
        <v>23</v>
      </c>
      <c r="J131" s="6" t="s">
        <v>23</v>
      </c>
      <c r="K131" s="6" t="s">
        <v>28</v>
      </c>
      <c r="L131" s="6"/>
      <c r="M131" s="6" t="str">
        <f t="shared" si="2"/>
        <v>50L-80L</v>
      </c>
    </row>
    <row r="132" spans="1:13" x14ac:dyDescent="0.25">
      <c r="A132" s="6" t="s">
        <v>172</v>
      </c>
      <c r="B132" s="7">
        <v>46052.409409722219</v>
      </c>
      <c r="C132" s="6" t="s">
        <v>20</v>
      </c>
      <c r="D132" s="6" t="s">
        <v>1062</v>
      </c>
      <c r="E132" s="6" t="s">
        <v>15</v>
      </c>
      <c r="F132" s="10">
        <v>3437805</v>
      </c>
      <c r="G132" s="6">
        <v>3</v>
      </c>
      <c r="H132" s="6" t="s">
        <v>16</v>
      </c>
      <c r="I132" s="6" t="s">
        <v>17</v>
      </c>
      <c r="J132" s="6" t="s">
        <v>23</v>
      </c>
      <c r="K132" s="6" t="s">
        <v>24</v>
      </c>
      <c r="L132" s="6"/>
      <c r="M132" s="6" t="str">
        <f t="shared" si="2"/>
        <v>30L-50L</v>
      </c>
    </row>
    <row r="133" spans="1:13" x14ac:dyDescent="0.25">
      <c r="A133" s="6" t="s">
        <v>173</v>
      </c>
      <c r="B133" s="7">
        <v>46052.635636574072</v>
      </c>
      <c r="C133" s="6" t="s">
        <v>26</v>
      </c>
      <c r="D133" s="6" t="s">
        <v>1060</v>
      </c>
      <c r="E133" s="6" t="s">
        <v>15</v>
      </c>
      <c r="F133" s="10">
        <v>3509551</v>
      </c>
      <c r="G133" s="6">
        <v>5</v>
      </c>
      <c r="H133" s="6" t="s">
        <v>16</v>
      </c>
      <c r="I133" s="6" t="s">
        <v>17</v>
      </c>
      <c r="J133" s="6" t="s">
        <v>23</v>
      </c>
      <c r="K133" s="6" t="s">
        <v>24</v>
      </c>
      <c r="L133" s="6"/>
      <c r="M133" s="6" t="str">
        <f t="shared" si="2"/>
        <v>30L-50L</v>
      </c>
    </row>
    <row r="134" spans="1:13" x14ac:dyDescent="0.25">
      <c r="A134" s="6" t="s">
        <v>174</v>
      </c>
      <c r="B134" s="7">
        <v>46052.861863425926</v>
      </c>
      <c r="C134" s="6" t="s">
        <v>13</v>
      </c>
      <c r="D134" s="6" t="s">
        <v>1059</v>
      </c>
      <c r="E134" s="6" t="s">
        <v>22</v>
      </c>
      <c r="F134" s="10">
        <v>7054096</v>
      </c>
      <c r="G134" s="6">
        <v>2</v>
      </c>
      <c r="H134" s="6" t="s">
        <v>16</v>
      </c>
      <c r="I134" s="6" t="s">
        <v>17</v>
      </c>
      <c r="J134" s="6" t="s">
        <v>23</v>
      </c>
      <c r="K134" s="6" t="s">
        <v>24</v>
      </c>
      <c r="L134" s="6"/>
      <c r="M134" s="6" t="str">
        <f t="shared" si="2"/>
        <v>50L-80L</v>
      </c>
    </row>
    <row r="135" spans="1:13" x14ac:dyDescent="0.25">
      <c r="A135" s="6" t="s">
        <v>175</v>
      </c>
      <c r="B135" s="7">
        <v>46053.088090277779</v>
      </c>
      <c r="C135" s="6" t="s">
        <v>26</v>
      </c>
      <c r="D135" s="6" t="s">
        <v>1059</v>
      </c>
      <c r="E135" s="6" t="s">
        <v>15</v>
      </c>
      <c r="F135" s="10">
        <v>5270645</v>
      </c>
      <c r="G135" s="6">
        <v>6</v>
      </c>
      <c r="H135" s="6" t="s">
        <v>16</v>
      </c>
      <c r="I135" s="6" t="s">
        <v>23</v>
      </c>
      <c r="J135" s="6" t="s">
        <v>23</v>
      </c>
      <c r="K135" s="6" t="s">
        <v>28</v>
      </c>
      <c r="L135" s="6"/>
      <c r="M135" s="6" t="str">
        <f t="shared" si="2"/>
        <v>50L-80L</v>
      </c>
    </row>
    <row r="136" spans="1:13" x14ac:dyDescent="0.25">
      <c r="A136" s="6" t="s">
        <v>176</v>
      </c>
      <c r="B136" s="7">
        <v>46053.314317129632</v>
      </c>
      <c r="C136" s="6" t="s">
        <v>33</v>
      </c>
      <c r="D136" s="6" t="s">
        <v>1062</v>
      </c>
      <c r="E136" s="6" t="s">
        <v>22</v>
      </c>
      <c r="F136" s="10">
        <v>10087820</v>
      </c>
      <c r="G136" s="6">
        <v>1</v>
      </c>
      <c r="H136" s="6" t="s">
        <v>16</v>
      </c>
      <c r="I136" s="6" t="s">
        <v>17</v>
      </c>
      <c r="J136" s="6" t="s">
        <v>17</v>
      </c>
      <c r="K136" s="6" t="s">
        <v>18</v>
      </c>
      <c r="L136" s="6">
        <v>9600000</v>
      </c>
      <c r="M136" s="6" t="str">
        <f t="shared" si="2"/>
        <v>80L-1.2Cr</v>
      </c>
    </row>
    <row r="137" spans="1:13" x14ac:dyDescent="0.25">
      <c r="A137" s="6" t="s">
        <v>177</v>
      </c>
      <c r="B137" s="7">
        <v>46053.540543981479</v>
      </c>
      <c r="C137" s="6" t="s">
        <v>26</v>
      </c>
      <c r="D137" s="6" t="s">
        <v>1059</v>
      </c>
      <c r="E137" s="6" t="s">
        <v>27</v>
      </c>
      <c r="F137" s="10">
        <v>3987798</v>
      </c>
      <c r="G137" s="6">
        <v>1</v>
      </c>
      <c r="H137" s="6" t="s">
        <v>37</v>
      </c>
      <c r="I137" s="6" t="s">
        <v>23</v>
      </c>
      <c r="J137" s="6" t="s">
        <v>23</v>
      </c>
      <c r="K137" s="6" t="s">
        <v>28</v>
      </c>
      <c r="L137" s="6"/>
      <c r="M137" s="6" t="str">
        <f t="shared" si="2"/>
        <v>30L-50L</v>
      </c>
    </row>
    <row r="138" spans="1:13" x14ac:dyDescent="0.25">
      <c r="A138" s="6" t="s">
        <v>178</v>
      </c>
      <c r="B138" s="7">
        <v>46053.766770833332</v>
      </c>
      <c r="C138" s="6" t="s">
        <v>20</v>
      </c>
      <c r="D138" s="6" t="s">
        <v>1063</v>
      </c>
      <c r="E138" s="6" t="s">
        <v>15</v>
      </c>
      <c r="F138" s="10">
        <v>4564926</v>
      </c>
      <c r="G138" s="6">
        <v>5</v>
      </c>
      <c r="H138" s="6" t="s">
        <v>16</v>
      </c>
      <c r="I138" s="6" t="s">
        <v>23</v>
      </c>
      <c r="J138" s="6" t="s">
        <v>23</v>
      </c>
      <c r="K138" s="6" t="s">
        <v>28</v>
      </c>
      <c r="L138" s="6"/>
      <c r="M138" s="6" t="str">
        <f t="shared" si="2"/>
        <v>30L-50L</v>
      </c>
    </row>
    <row r="139" spans="1:13" x14ac:dyDescent="0.25">
      <c r="A139" s="6" t="s">
        <v>179</v>
      </c>
      <c r="B139" s="7">
        <v>46053.992997685185</v>
      </c>
      <c r="C139" s="6" t="s">
        <v>30</v>
      </c>
      <c r="D139" s="6" t="s">
        <v>1060</v>
      </c>
      <c r="E139" s="6" t="s">
        <v>22</v>
      </c>
      <c r="F139" s="10">
        <v>6990121</v>
      </c>
      <c r="G139" s="6">
        <v>1</v>
      </c>
      <c r="H139" s="6" t="s">
        <v>16</v>
      </c>
      <c r="I139" s="6" t="s">
        <v>17</v>
      </c>
      <c r="J139" s="6" t="s">
        <v>17</v>
      </c>
      <c r="K139" s="6" t="s">
        <v>24</v>
      </c>
      <c r="L139" s="6"/>
      <c r="M139" s="6" t="str">
        <f t="shared" si="2"/>
        <v>50L-80L</v>
      </c>
    </row>
    <row r="140" spans="1:13" x14ac:dyDescent="0.25">
      <c r="A140" s="6" t="s">
        <v>180</v>
      </c>
      <c r="B140" s="7">
        <v>46054.219224537039</v>
      </c>
      <c r="C140" s="6" t="s">
        <v>26</v>
      </c>
      <c r="D140" s="6" t="s">
        <v>1060</v>
      </c>
      <c r="E140" s="6" t="s">
        <v>15</v>
      </c>
      <c r="F140" s="10">
        <v>8225050</v>
      </c>
      <c r="G140" s="6">
        <v>6</v>
      </c>
      <c r="H140" s="6" t="s">
        <v>16</v>
      </c>
      <c r="I140" s="6" t="s">
        <v>17</v>
      </c>
      <c r="J140" s="6" t="s">
        <v>17</v>
      </c>
      <c r="K140" s="6" t="s">
        <v>18</v>
      </c>
      <c r="L140" s="6">
        <v>7650000</v>
      </c>
      <c r="M140" s="6" t="str">
        <f t="shared" si="2"/>
        <v>80L-1.2Cr</v>
      </c>
    </row>
    <row r="141" spans="1:13" x14ac:dyDescent="0.25">
      <c r="A141" s="6" t="s">
        <v>181</v>
      </c>
      <c r="B141" s="7">
        <v>46054.445439814815</v>
      </c>
      <c r="C141" s="6" t="s">
        <v>33</v>
      </c>
      <c r="D141" s="6" t="s">
        <v>1060</v>
      </c>
      <c r="E141" s="6" t="s">
        <v>27</v>
      </c>
      <c r="F141" s="10">
        <v>1983442</v>
      </c>
      <c r="G141" s="6">
        <v>6</v>
      </c>
      <c r="H141" s="6" t="s">
        <v>16</v>
      </c>
      <c r="I141" s="6" t="s">
        <v>17</v>
      </c>
      <c r="J141" s="6" t="s">
        <v>17</v>
      </c>
      <c r="K141" s="6" t="s">
        <v>18</v>
      </c>
      <c r="L141" s="6">
        <v>1950000</v>
      </c>
      <c r="M141" s="6" t="str">
        <f t="shared" si="2"/>
        <v>Below 30L</v>
      </c>
    </row>
    <row r="142" spans="1:13" x14ac:dyDescent="0.25">
      <c r="A142" s="6" t="s">
        <v>182</v>
      </c>
      <c r="B142" s="7">
        <v>46054.671666666669</v>
      </c>
      <c r="C142" s="6" t="s">
        <v>33</v>
      </c>
      <c r="D142" s="6" t="s">
        <v>1063</v>
      </c>
      <c r="E142" s="6" t="s">
        <v>27</v>
      </c>
      <c r="F142" s="10">
        <v>2279976</v>
      </c>
      <c r="G142" s="6">
        <v>1</v>
      </c>
      <c r="H142" s="6" t="s">
        <v>37</v>
      </c>
      <c r="I142" s="6" t="s">
        <v>23</v>
      </c>
      <c r="J142" s="6" t="s">
        <v>23</v>
      </c>
      <c r="K142" s="6" t="s">
        <v>28</v>
      </c>
      <c r="L142" s="6"/>
      <c r="M142" s="6" t="str">
        <f t="shared" si="2"/>
        <v>Below 30L</v>
      </c>
    </row>
    <row r="143" spans="1:13" x14ac:dyDescent="0.25">
      <c r="A143" s="6" t="s">
        <v>183</v>
      </c>
      <c r="B143" s="7">
        <v>46054.897893518515</v>
      </c>
      <c r="C143" s="6" t="s">
        <v>26</v>
      </c>
      <c r="D143" s="6" t="s">
        <v>21</v>
      </c>
      <c r="E143" s="6" t="s">
        <v>15</v>
      </c>
      <c r="F143" s="10">
        <v>4009869</v>
      </c>
      <c r="G143" s="6">
        <v>3</v>
      </c>
      <c r="H143" s="6" t="s">
        <v>37</v>
      </c>
      <c r="I143" s="6" t="s">
        <v>23</v>
      </c>
      <c r="J143" s="6" t="s">
        <v>23</v>
      </c>
      <c r="K143" s="6" t="s">
        <v>28</v>
      </c>
      <c r="L143" s="6"/>
      <c r="M143" s="6" t="str">
        <f t="shared" si="2"/>
        <v>30L-50L</v>
      </c>
    </row>
    <row r="144" spans="1:13" x14ac:dyDescent="0.25">
      <c r="A144" s="6" t="s">
        <v>184</v>
      </c>
      <c r="B144" s="7">
        <v>46055.124120370368</v>
      </c>
      <c r="C144" s="6" t="s">
        <v>20</v>
      </c>
      <c r="D144" s="6" t="s">
        <v>1062</v>
      </c>
      <c r="E144" s="6" t="s">
        <v>22</v>
      </c>
      <c r="F144" s="10">
        <v>8428462</v>
      </c>
      <c r="G144" s="6">
        <v>1</v>
      </c>
      <c r="H144" s="6" t="s">
        <v>37</v>
      </c>
      <c r="I144" s="6" t="s">
        <v>23</v>
      </c>
      <c r="J144" s="6" t="s">
        <v>23</v>
      </c>
      <c r="K144" s="6" t="s">
        <v>28</v>
      </c>
      <c r="L144" s="6"/>
      <c r="M144" s="6" t="str">
        <f t="shared" si="2"/>
        <v>80L-1.2Cr</v>
      </c>
    </row>
    <row r="145" spans="1:13" x14ac:dyDescent="0.25">
      <c r="A145" s="6" t="s">
        <v>185</v>
      </c>
      <c r="B145" s="7">
        <v>46055.350347222222</v>
      </c>
      <c r="C145" s="6" t="s">
        <v>26</v>
      </c>
      <c r="D145" s="6" t="s">
        <v>1060</v>
      </c>
      <c r="E145" s="6" t="s">
        <v>15</v>
      </c>
      <c r="F145" s="10">
        <v>4360018</v>
      </c>
      <c r="G145" s="6">
        <v>2</v>
      </c>
      <c r="H145" s="6" t="s">
        <v>37</v>
      </c>
      <c r="I145" s="6" t="s">
        <v>17</v>
      </c>
      <c r="J145" s="6" t="s">
        <v>23</v>
      </c>
      <c r="K145" s="6" t="s">
        <v>18</v>
      </c>
      <c r="L145" s="6">
        <v>4250000</v>
      </c>
      <c r="M145" s="6" t="str">
        <f t="shared" si="2"/>
        <v>30L-50L</v>
      </c>
    </row>
    <row r="146" spans="1:13" x14ac:dyDescent="0.25">
      <c r="A146" s="6" t="s">
        <v>186</v>
      </c>
      <c r="B146" s="7">
        <v>46055.576574074075</v>
      </c>
      <c r="C146" s="6" t="s">
        <v>26</v>
      </c>
      <c r="D146" s="6" t="s">
        <v>1059</v>
      </c>
      <c r="E146" s="6" t="s">
        <v>15</v>
      </c>
      <c r="F146" s="10">
        <v>3579223</v>
      </c>
      <c r="G146" s="6">
        <v>1</v>
      </c>
      <c r="H146" s="6" t="s">
        <v>16</v>
      </c>
      <c r="I146" s="6" t="s">
        <v>17</v>
      </c>
      <c r="J146" s="6" t="s">
        <v>17</v>
      </c>
      <c r="K146" s="6" t="s">
        <v>18</v>
      </c>
      <c r="L146" s="6">
        <v>3400000</v>
      </c>
      <c r="M146" s="6" t="str">
        <f t="shared" si="2"/>
        <v>30L-50L</v>
      </c>
    </row>
    <row r="147" spans="1:13" x14ac:dyDescent="0.25">
      <c r="A147" s="6" t="s">
        <v>187</v>
      </c>
      <c r="B147" s="7">
        <v>46055.802800925929</v>
      </c>
      <c r="C147" s="6" t="s">
        <v>13</v>
      </c>
      <c r="D147" s="6" t="s">
        <v>1061</v>
      </c>
      <c r="E147" s="6" t="s">
        <v>27</v>
      </c>
      <c r="F147" s="10">
        <v>4021437</v>
      </c>
      <c r="G147" s="6">
        <v>1</v>
      </c>
      <c r="H147" s="6" t="s">
        <v>16</v>
      </c>
      <c r="I147" s="6" t="s">
        <v>17</v>
      </c>
      <c r="J147" s="6" t="s">
        <v>17</v>
      </c>
      <c r="K147" s="6" t="s">
        <v>18</v>
      </c>
      <c r="L147" s="6">
        <v>4100000</v>
      </c>
      <c r="M147" s="6" t="str">
        <f t="shared" si="2"/>
        <v>30L-50L</v>
      </c>
    </row>
    <row r="148" spans="1:13" x14ac:dyDescent="0.25">
      <c r="A148" s="6" t="s">
        <v>188</v>
      </c>
      <c r="B148" s="7">
        <v>46056.029027777775</v>
      </c>
      <c r="C148" s="6" t="s">
        <v>30</v>
      </c>
      <c r="D148" s="6" t="s">
        <v>1063</v>
      </c>
      <c r="E148" s="6" t="s">
        <v>15</v>
      </c>
      <c r="F148" s="10">
        <v>4002429</v>
      </c>
      <c r="G148" s="6">
        <v>2</v>
      </c>
      <c r="H148" s="6" t="s">
        <v>16</v>
      </c>
      <c r="I148" s="6" t="s">
        <v>17</v>
      </c>
      <c r="J148" s="6" t="s">
        <v>17</v>
      </c>
      <c r="K148" s="6" t="s">
        <v>18</v>
      </c>
      <c r="L148" s="6">
        <v>3700000</v>
      </c>
      <c r="M148" s="6" t="str">
        <f t="shared" si="2"/>
        <v>30L-50L</v>
      </c>
    </row>
    <row r="149" spans="1:13" x14ac:dyDescent="0.25">
      <c r="A149" s="6" t="s">
        <v>189</v>
      </c>
      <c r="B149" s="7">
        <v>46056.255254629628</v>
      </c>
      <c r="C149" s="6" t="s">
        <v>20</v>
      </c>
      <c r="D149" s="6" t="s">
        <v>1062</v>
      </c>
      <c r="E149" s="6" t="s">
        <v>15</v>
      </c>
      <c r="F149" s="10">
        <v>7649123</v>
      </c>
      <c r="G149" s="6">
        <v>2</v>
      </c>
      <c r="H149" s="6" t="s">
        <v>37</v>
      </c>
      <c r="I149" s="6" t="s">
        <v>23</v>
      </c>
      <c r="J149" s="6" t="s">
        <v>17</v>
      </c>
      <c r="K149" s="6" t="s">
        <v>28</v>
      </c>
      <c r="L149" s="6"/>
      <c r="M149" s="6" t="str">
        <f t="shared" si="2"/>
        <v>50L-80L</v>
      </c>
    </row>
    <row r="150" spans="1:13" x14ac:dyDescent="0.25">
      <c r="A150" s="6" t="s">
        <v>190</v>
      </c>
      <c r="B150" s="7">
        <v>46056.481481481482</v>
      </c>
      <c r="C150" s="6" t="s">
        <v>13</v>
      </c>
      <c r="D150" s="6" t="s">
        <v>1063</v>
      </c>
      <c r="E150" s="6" t="s">
        <v>15</v>
      </c>
      <c r="F150" s="10">
        <v>5258762</v>
      </c>
      <c r="G150" s="6">
        <v>6</v>
      </c>
      <c r="H150" s="6" t="s">
        <v>16</v>
      </c>
      <c r="I150" s="6" t="s">
        <v>23</v>
      </c>
      <c r="J150" s="6" t="s">
        <v>17</v>
      </c>
      <c r="K150" s="6" t="s">
        <v>28</v>
      </c>
      <c r="L150" s="6"/>
      <c r="M150" s="6" t="str">
        <f t="shared" si="2"/>
        <v>50L-80L</v>
      </c>
    </row>
    <row r="151" spans="1:13" x14ac:dyDescent="0.25">
      <c r="A151" s="6" t="s">
        <v>191</v>
      </c>
      <c r="B151" s="7">
        <v>46056.707708333335</v>
      </c>
      <c r="C151" s="6" t="s">
        <v>26</v>
      </c>
      <c r="D151" s="6" t="s">
        <v>1061</v>
      </c>
      <c r="E151" s="6" t="s">
        <v>27</v>
      </c>
      <c r="F151" s="10">
        <v>1984273</v>
      </c>
      <c r="G151" s="6">
        <v>4</v>
      </c>
      <c r="H151" s="6" t="s">
        <v>16</v>
      </c>
      <c r="I151" s="6" t="s">
        <v>23</v>
      </c>
      <c r="J151" s="6" t="s">
        <v>17</v>
      </c>
      <c r="K151" s="6" t="s">
        <v>18</v>
      </c>
      <c r="L151" s="6">
        <v>1900000</v>
      </c>
      <c r="M151" s="6" t="str">
        <f t="shared" si="2"/>
        <v>Below 30L</v>
      </c>
    </row>
    <row r="152" spans="1:13" x14ac:dyDescent="0.25">
      <c r="A152" s="6" t="s">
        <v>192</v>
      </c>
      <c r="B152" s="7">
        <v>46056.933935185189</v>
      </c>
      <c r="C152" s="6" t="s">
        <v>33</v>
      </c>
      <c r="D152" s="6" t="s">
        <v>1062</v>
      </c>
      <c r="E152" s="6" t="s">
        <v>15</v>
      </c>
      <c r="F152" s="10">
        <v>4282188</v>
      </c>
      <c r="G152" s="6">
        <v>4</v>
      </c>
      <c r="H152" s="6" t="s">
        <v>16</v>
      </c>
      <c r="I152" s="6" t="s">
        <v>17</v>
      </c>
      <c r="J152" s="6" t="s">
        <v>17</v>
      </c>
      <c r="K152" s="6" t="s">
        <v>18</v>
      </c>
      <c r="L152" s="6">
        <v>4350000</v>
      </c>
      <c r="M152" s="6" t="str">
        <f t="shared" si="2"/>
        <v>30L-50L</v>
      </c>
    </row>
    <row r="153" spans="1:13" x14ac:dyDescent="0.25">
      <c r="A153" s="6" t="s">
        <v>193</v>
      </c>
      <c r="B153" s="7">
        <v>46057.160162037035</v>
      </c>
      <c r="C153" s="6" t="s">
        <v>26</v>
      </c>
      <c r="D153" s="6" t="s">
        <v>1063</v>
      </c>
      <c r="E153" s="6" t="s">
        <v>15</v>
      </c>
      <c r="F153" s="10">
        <v>8903234</v>
      </c>
      <c r="G153" s="6">
        <v>3</v>
      </c>
      <c r="H153" s="6" t="s">
        <v>16</v>
      </c>
      <c r="I153" s="6" t="s">
        <v>17</v>
      </c>
      <c r="J153" s="6" t="s">
        <v>17</v>
      </c>
      <c r="K153" s="6" t="s">
        <v>18</v>
      </c>
      <c r="L153" s="6">
        <v>8700000</v>
      </c>
      <c r="M153" s="6" t="str">
        <f t="shared" si="2"/>
        <v>80L-1.2Cr</v>
      </c>
    </row>
    <row r="154" spans="1:13" x14ac:dyDescent="0.25">
      <c r="A154" s="6" t="s">
        <v>194</v>
      </c>
      <c r="B154" s="7">
        <v>46057.386388888888</v>
      </c>
      <c r="C154" s="6" t="s">
        <v>13</v>
      </c>
      <c r="D154" s="6" t="s">
        <v>1062</v>
      </c>
      <c r="E154" s="6" t="s">
        <v>22</v>
      </c>
      <c r="F154" s="10">
        <v>6688332</v>
      </c>
      <c r="G154" s="6">
        <v>4</v>
      </c>
      <c r="H154" s="6" t="s">
        <v>16</v>
      </c>
      <c r="I154" s="6" t="s">
        <v>17</v>
      </c>
      <c r="J154" s="6" t="s">
        <v>23</v>
      </c>
      <c r="K154" s="6" t="s">
        <v>24</v>
      </c>
      <c r="L154" s="6"/>
      <c r="M154" s="6" t="str">
        <f t="shared" si="2"/>
        <v>50L-80L</v>
      </c>
    </row>
    <row r="155" spans="1:13" x14ac:dyDescent="0.25">
      <c r="A155" s="6" t="s">
        <v>195</v>
      </c>
      <c r="B155" s="7">
        <v>46057.612615740742</v>
      </c>
      <c r="C155" s="6" t="s">
        <v>20</v>
      </c>
      <c r="D155" s="6" t="s">
        <v>1062</v>
      </c>
      <c r="E155" s="6" t="s">
        <v>27</v>
      </c>
      <c r="F155" s="10">
        <v>3422133</v>
      </c>
      <c r="G155" s="6">
        <v>2</v>
      </c>
      <c r="H155" s="6" t="s">
        <v>37</v>
      </c>
      <c r="I155" s="6" t="s">
        <v>23</v>
      </c>
      <c r="J155" s="6" t="s">
        <v>23</v>
      </c>
      <c r="K155" s="6" t="s">
        <v>28</v>
      </c>
      <c r="L155" s="6"/>
      <c r="M155" s="6" t="str">
        <f t="shared" si="2"/>
        <v>30L-50L</v>
      </c>
    </row>
    <row r="156" spans="1:13" x14ac:dyDescent="0.25">
      <c r="A156" s="6" t="s">
        <v>196</v>
      </c>
      <c r="B156" s="7">
        <v>46057.838842592595</v>
      </c>
      <c r="C156" s="6" t="s">
        <v>33</v>
      </c>
      <c r="D156" s="6" t="s">
        <v>1062</v>
      </c>
      <c r="E156" s="6" t="s">
        <v>15</v>
      </c>
      <c r="F156" s="10">
        <v>4256348</v>
      </c>
      <c r="G156" s="6">
        <v>4</v>
      </c>
      <c r="H156" s="6" t="s">
        <v>16</v>
      </c>
      <c r="I156" s="6" t="s">
        <v>17</v>
      </c>
      <c r="J156" s="6" t="s">
        <v>23</v>
      </c>
      <c r="K156" s="6" t="s">
        <v>18</v>
      </c>
      <c r="L156" s="6">
        <v>4300000</v>
      </c>
      <c r="M156" s="6" t="str">
        <f t="shared" si="2"/>
        <v>30L-50L</v>
      </c>
    </row>
    <row r="157" spans="1:13" x14ac:dyDescent="0.25">
      <c r="A157" s="6" t="s">
        <v>197</v>
      </c>
      <c r="B157" s="7">
        <v>46058.065069444441</v>
      </c>
      <c r="C157" s="6" t="s">
        <v>26</v>
      </c>
      <c r="D157" s="6" t="s">
        <v>1063</v>
      </c>
      <c r="E157" s="6" t="s">
        <v>15</v>
      </c>
      <c r="F157" s="10">
        <v>3769305</v>
      </c>
      <c r="G157" s="6">
        <v>6</v>
      </c>
      <c r="H157" s="6" t="s">
        <v>16</v>
      </c>
      <c r="I157" s="6" t="s">
        <v>23</v>
      </c>
      <c r="J157" s="6" t="s">
        <v>23</v>
      </c>
      <c r="K157" s="6" t="s">
        <v>28</v>
      </c>
      <c r="L157" s="6"/>
      <c r="M157" s="6" t="str">
        <f t="shared" si="2"/>
        <v>30L-50L</v>
      </c>
    </row>
    <row r="158" spans="1:13" x14ac:dyDescent="0.25">
      <c r="A158" s="6" t="s">
        <v>198</v>
      </c>
      <c r="B158" s="7">
        <v>46058.291296296295</v>
      </c>
      <c r="C158" s="6" t="s">
        <v>30</v>
      </c>
      <c r="D158" s="6" t="s">
        <v>1059</v>
      </c>
      <c r="E158" s="6" t="s">
        <v>15</v>
      </c>
      <c r="F158" s="10">
        <v>4620077</v>
      </c>
      <c r="G158" s="6">
        <v>2</v>
      </c>
      <c r="H158" s="6" t="s">
        <v>37</v>
      </c>
      <c r="I158" s="6" t="s">
        <v>17</v>
      </c>
      <c r="J158" s="6" t="s">
        <v>23</v>
      </c>
      <c r="K158" s="6" t="s">
        <v>24</v>
      </c>
      <c r="L158" s="6"/>
      <c r="M158" s="6" t="str">
        <f t="shared" si="2"/>
        <v>30L-50L</v>
      </c>
    </row>
    <row r="159" spans="1:13" x14ac:dyDescent="0.25">
      <c r="A159" s="6" t="s">
        <v>199</v>
      </c>
      <c r="B159" s="7">
        <v>46058.517523148148</v>
      </c>
      <c r="C159" s="6" t="s">
        <v>36</v>
      </c>
      <c r="D159" s="6" t="s">
        <v>1061</v>
      </c>
      <c r="E159" s="6" t="s">
        <v>15</v>
      </c>
      <c r="F159" s="10">
        <v>3717104</v>
      </c>
      <c r="G159" s="6">
        <v>3</v>
      </c>
      <c r="H159" s="6" t="s">
        <v>16</v>
      </c>
      <c r="I159" s="6" t="s">
        <v>17</v>
      </c>
      <c r="J159" s="6" t="s">
        <v>17</v>
      </c>
      <c r="K159" s="6" t="s">
        <v>24</v>
      </c>
      <c r="L159" s="6"/>
      <c r="M159" s="6" t="str">
        <f t="shared" si="2"/>
        <v>30L-50L</v>
      </c>
    </row>
    <row r="160" spans="1:13" x14ac:dyDescent="0.25">
      <c r="A160" s="6" t="s">
        <v>200</v>
      </c>
      <c r="B160" s="7">
        <v>46058.743738425925</v>
      </c>
      <c r="C160" s="6" t="s">
        <v>26</v>
      </c>
      <c r="D160" s="6" t="s">
        <v>1061</v>
      </c>
      <c r="E160" s="6" t="s">
        <v>15</v>
      </c>
      <c r="F160" s="10">
        <v>4661082</v>
      </c>
      <c r="G160" s="6">
        <v>4</v>
      </c>
      <c r="H160" s="6" t="s">
        <v>37</v>
      </c>
      <c r="I160" s="6" t="s">
        <v>23</v>
      </c>
      <c r="J160" s="6" t="s">
        <v>23</v>
      </c>
      <c r="K160" s="6" t="s">
        <v>28</v>
      </c>
      <c r="L160" s="6"/>
      <c r="M160" s="6" t="str">
        <f t="shared" si="2"/>
        <v>30L-50L</v>
      </c>
    </row>
    <row r="161" spans="1:13" x14ac:dyDescent="0.25">
      <c r="A161" s="6" t="s">
        <v>201</v>
      </c>
      <c r="B161" s="7">
        <v>46058.969965277778</v>
      </c>
      <c r="C161" s="6" t="s">
        <v>30</v>
      </c>
      <c r="D161" s="6" t="s">
        <v>1059</v>
      </c>
      <c r="E161" s="6" t="s">
        <v>22</v>
      </c>
      <c r="F161" s="10">
        <v>9901653</v>
      </c>
      <c r="G161" s="6">
        <v>5</v>
      </c>
      <c r="H161" s="6" t="s">
        <v>16</v>
      </c>
      <c r="I161" s="6" t="s">
        <v>17</v>
      </c>
      <c r="J161" s="6" t="s">
        <v>17</v>
      </c>
      <c r="K161" s="6" t="s">
        <v>18</v>
      </c>
      <c r="L161" s="6">
        <v>9850000</v>
      </c>
      <c r="M161" s="6" t="str">
        <f t="shared" si="2"/>
        <v>80L-1.2Cr</v>
      </c>
    </row>
    <row r="162" spans="1:13" x14ac:dyDescent="0.25">
      <c r="A162" s="6" t="s">
        <v>202</v>
      </c>
      <c r="B162" s="7">
        <v>46059.196192129632</v>
      </c>
      <c r="C162" s="6" t="s">
        <v>26</v>
      </c>
      <c r="D162" s="6" t="s">
        <v>1063</v>
      </c>
      <c r="E162" s="6" t="s">
        <v>22</v>
      </c>
      <c r="F162" s="10">
        <v>8536414</v>
      </c>
      <c r="G162" s="6">
        <v>4</v>
      </c>
      <c r="H162" s="6" t="s">
        <v>16</v>
      </c>
      <c r="I162" s="6" t="s">
        <v>17</v>
      </c>
      <c r="J162" s="6" t="s">
        <v>17</v>
      </c>
      <c r="K162" s="6" t="s">
        <v>18</v>
      </c>
      <c r="L162" s="6">
        <v>8900000</v>
      </c>
      <c r="M162" s="6" t="str">
        <f t="shared" si="2"/>
        <v>80L-1.2Cr</v>
      </c>
    </row>
    <row r="163" spans="1:13" x14ac:dyDescent="0.25">
      <c r="A163" s="6" t="s">
        <v>203</v>
      </c>
      <c r="B163" s="7">
        <v>46059.422418981485</v>
      </c>
      <c r="C163" s="6" t="s">
        <v>30</v>
      </c>
      <c r="D163" s="6" t="s">
        <v>1059</v>
      </c>
      <c r="E163" s="6" t="s">
        <v>22</v>
      </c>
      <c r="F163" s="10">
        <v>11448633</v>
      </c>
      <c r="G163" s="6">
        <v>2</v>
      </c>
      <c r="H163" s="6" t="s">
        <v>37</v>
      </c>
      <c r="I163" s="6" t="s">
        <v>17</v>
      </c>
      <c r="J163" s="6" t="s">
        <v>23</v>
      </c>
      <c r="K163" s="6" t="s">
        <v>24</v>
      </c>
      <c r="L163" s="6"/>
      <c r="M163" s="6" t="str">
        <f t="shared" si="2"/>
        <v>80L-1.2Cr</v>
      </c>
    </row>
    <row r="164" spans="1:13" x14ac:dyDescent="0.25">
      <c r="A164" s="6" t="s">
        <v>204</v>
      </c>
      <c r="B164" s="7">
        <v>46059.648645833331</v>
      </c>
      <c r="C164" s="6" t="s">
        <v>30</v>
      </c>
      <c r="D164" s="6" t="s">
        <v>21</v>
      </c>
      <c r="E164" s="6" t="s">
        <v>15</v>
      </c>
      <c r="F164" s="10">
        <v>6236067</v>
      </c>
      <c r="G164" s="6">
        <v>2</v>
      </c>
      <c r="H164" s="6" t="s">
        <v>16</v>
      </c>
      <c r="I164" s="6" t="s">
        <v>17</v>
      </c>
      <c r="J164" s="6" t="s">
        <v>17</v>
      </c>
      <c r="K164" s="6" t="s">
        <v>24</v>
      </c>
      <c r="L164" s="6"/>
      <c r="M164" s="6" t="str">
        <f t="shared" si="2"/>
        <v>50L-80L</v>
      </c>
    </row>
    <row r="165" spans="1:13" x14ac:dyDescent="0.25">
      <c r="A165" s="6" t="s">
        <v>205</v>
      </c>
      <c r="B165" s="7">
        <v>46059.874872685185</v>
      </c>
      <c r="C165" s="6" t="s">
        <v>20</v>
      </c>
      <c r="D165" s="6" t="s">
        <v>1063</v>
      </c>
      <c r="E165" s="6" t="s">
        <v>27</v>
      </c>
      <c r="F165" s="10">
        <v>3036469</v>
      </c>
      <c r="G165" s="6">
        <v>1</v>
      </c>
      <c r="H165" s="6" t="s">
        <v>16</v>
      </c>
      <c r="I165" s="6" t="s">
        <v>17</v>
      </c>
      <c r="J165" s="6" t="s">
        <v>17</v>
      </c>
      <c r="K165" s="6" t="s">
        <v>24</v>
      </c>
      <c r="L165" s="6"/>
      <c r="M165" s="6" t="str">
        <f t="shared" si="2"/>
        <v>30L-50L</v>
      </c>
    </row>
    <row r="166" spans="1:13" x14ac:dyDescent="0.25">
      <c r="A166" s="6" t="s">
        <v>206</v>
      </c>
      <c r="B166" s="7">
        <v>46060.101099537038</v>
      </c>
      <c r="C166" s="6" t="s">
        <v>13</v>
      </c>
      <c r="D166" s="6" t="s">
        <v>1059</v>
      </c>
      <c r="E166" s="6" t="s">
        <v>15</v>
      </c>
      <c r="F166" s="10">
        <v>4227545</v>
      </c>
      <c r="G166" s="6">
        <v>4</v>
      </c>
      <c r="H166" s="6" t="s">
        <v>16</v>
      </c>
      <c r="I166" s="6" t="s">
        <v>17</v>
      </c>
      <c r="J166" s="6" t="s">
        <v>17</v>
      </c>
      <c r="K166" s="6" t="s">
        <v>18</v>
      </c>
      <c r="L166" s="6">
        <v>4200000</v>
      </c>
      <c r="M166" s="6" t="str">
        <f t="shared" si="2"/>
        <v>30L-50L</v>
      </c>
    </row>
    <row r="167" spans="1:13" x14ac:dyDescent="0.25">
      <c r="A167" s="6" t="s">
        <v>207</v>
      </c>
      <c r="B167" s="7">
        <v>46060.327326388891</v>
      </c>
      <c r="C167" s="6" t="s">
        <v>36</v>
      </c>
      <c r="D167" s="6" t="s">
        <v>1063</v>
      </c>
      <c r="E167" s="6" t="s">
        <v>27</v>
      </c>
      <c r="F167" s="10">
        <v>2415480</v>
      </c>
      <c r="G167" s="6">
        <v>1</v>
      </c>
      <c r="H167" s="6" t="s">
        <v>16</v>
      </c>
      <c r="I167" s="6" t="s">
        <v>17</v>
      </c>
      <c r="J167" s="6" t="s">
        <v>23</v>
      </c>
      <c r="K167" s="6" t="s">
        <v>24</v>
      </c>
      <c r="L167" s="6"/>
      <c r="M167" s="6" t="str">
        <f t="shared" si="2"/>
        <v>Below 30L</v>
      </c>
    </row>
    <row r="168" spans="1:13" x14ac:dyDescent="0.25">
      <c r="A168" s="6" t="s">
        <v>208</v>
      </c>
      <c r="B168" s="7">
        <v>46060.553553240738</v>
      </c>
      <c r="C168" s="6" t="s">
        <v>26</v>
      </c>
      <c r="D168" s="6" t="s">
        <v>1063</v>
      </c>
      <c r="E168" s="6" t="s">
        <v>22</v>
      </c>
      <c r="F168" s="10">
        <v>8542057</v>
      </c>
      <c r="G168" s="6">
        <v>5</v>
      </c>
      <c r="H168" s="6" t="s">
        <v>16</v>
      </c>
      <c r="I168" s="6" t="s">
        <v>23</v>
      </c>
      <c r="J168" s="6" t="s">
        <v>23</v>
      </c>
      <c r="K168" s="6" t="s">
        <v>28</v>
      </c>
      <c r="L168" s="6"/>
      <c r="M168" s="6" t="str">
        <f t="shared" si="2"/>
        <v>80L-1.2Cr</v>
      </c>
    </row>
    <row r="169" spans="1:13" x14ac:dyDescent="0.25">
      <c r="A169" s="6" t="s">
        <v>209</v>
      </c>
      <c r="B169" s="7">
        <v>46060.779780092591</v>
      </c>
      <c r="C169" s="6" t="s">
        <v>13</v>
      </c>
      <c r="D169" s="6" t="s">
        <v>1060</v>
      </c>
      <c r="E169" s="6" t="s">
        <v>15</v>
      </c>
      <c r="F169" s="10">
        <v>5273953</v>
      </c>
      <c r="G169" s="6">
        <v>1</v>
      </c>
      <c r="H169" s="6" t="s">
        <v>16</v>
      </c>
      <c r="I169" s="6" t="s">
        <v>23</v>
      </c>
      <c r="J169" s="6" t="s">
        <v>23</v>
      </c>
      <c r="K169" s="6" t="s">
        <v>28</v>
      </c>
      <c r="L169" s="6"/>
      <c r="M169" s="6" t="str">
        <f t="shared" si="2"/>
        <v>50L-80L</v>
      </c>
    </row>
    <row r="170" spans="1:13" x14ac:dyDescent="0.25">
      <c r="A170" s="6" t="s">
        <v>210</v>
      </c>
      <c r="B170" s="7">
        <v>46061.006006944444</v>
      </c>
      <c r="C170" s="6" t="s">
        <v>13</v>
      </c>
      <c r="D170" s="6" t="s">
        <v>1059</v>
      </c>
      <c r="E170" s="6" t="s">
        <v>22</v>
      </c>
      <c r="F170" s="10">
        <v>9132406</v>
      </c>
      <c r="G170" s="6">
        <v>1</v>
      </c>
      <c r="H170" s="6" t="s">
        <v>16</v>
      </c>
      <c r="I170" s="6" t="s">
        <v>23</v>
      </c>
      <c r="J170" s="6" t="s">
        <v>17</v>
      </c>
      <c r="K170" s="6" t="s">
        <v>18</v>
      </c>
      <c r="L170" s="6">
        <v>8400000</v>
      </c>
      <c r="M170" s="6" t="str">
        <f t="shared" si="2"/>
        <v>80L-1.2Cr</v>
      </c>
    </row>
    <row r="171" spans="1:13" x14ac:dyDescent="0.25">
      <c r="A171" s="6" t="s">
        <v>211</v>
      </c>
      <c r="B171" s="7">
        <v>46061.232233796298</v>
      </c>
      <c r="C171" s="6" t="s">
        <v>30</v>
      </c>
      <c r="D171" s="6" t="s">
        <v>21</v>
      </c>
      <c r="E171" s="6" t="s">
        <v>15</v>
      </c>
      <c r="F171" s="10">
        <v>5493779</v>
      </c>
      <c r="G171" s="6">
        <v>2</v>
      </c>
      <c r="H171" s="6" t="s">
        <v>16</v>
      </c>
      <c r="I171" s="6" t="s">
        <v>23</v>
      </c>
      <c r="J171" s="6" t="s">
        <v>23</v>
      </c>
      <c r="K171" s="6" t="s">
        <v>28</v>
      </c>
      <c r="L171" s="6"/>
      <c r="M171" s="6" t="str">
        <f t="shared" si="2"/>
        <v>50L-80L</v>
      </c>
    </row>
    <row r="172" spans="1:13" x14ac:dyDescent="0.25">
      <c r="A172" s="6" t="s">
        <v>212</v>
      </c>
      <c r="B172" s="7">
        <v>46061.458460648151</v>
      </c>
      <c r="C172" s="6" t="s">
        <v>30</v>
      </c>
      <c r="D172" s="6" t="s">
        <v>1062</v>
      </c>
      <c r="E172" s="6" t="s">
        <v>22</v>
      </c>
      <c r="F172" s="10">
        <v>7514101</v>
      </c>
      <c r="G172" s="6">
        <v>4</v>
      </c>
      <c r="H172" s="6" t="s">
        <v>16</v>
      </c>
      <c r="I172" s="6" t="s">
        <v>17</v>
      </c>
      <c r="J172" s="6" t="s">
        <v>17</v>
      </c>
      <c r="K172" s="6" t="s">
        <v>18</v>
      </c>
      <c r="L172" s="6">
        <v>7250000</v>
      </c>
      <c r="M172" s="6" t="str">
        <f t="shared" si="2"/>
        <v>50L-80L</v>
      </c>
    </row>
    <row r="173" spans="1:13" x14ac:dyDescent="0.25">
      <c r="A173" s="6" t="s">
        <v>213</v>
      </c>
      <c r="B173" s="7">
        <v>46061.684687499997</v>
      </c>
      <c r="C173" s="6" t="s">
        <v>13</v>
      </c>
      <c r="D173" s="6" t="s">
        <v>1061</v>
      </c>
      <c r="E173" s="6" t="s">
        <v>15</v>
      </c>
      <c r="F173" s="10">
        <v>5025006</v>
      </c>
      <c r="G173" s="6">
        <v>1</v>
      </c>
      <c r="H173" s="6" t="s">
        <v>37</v>
      </c>
      <c r="I173" s="6" t="s">
        <v>17</v>
      </c>
      <c r="J173" s="6" t="s">
        <v>23</v>
      </c>
      <c r="K173" s="6" t="s">
        <v>24</v>
      </c>
      <c r="L173" s="6"/>
      <c r="M173" s="6" t="str">
        <f t="shared" si="2"/>
        <v>50L-80L</v>
      </c>
    </row>
    <row r="174" spans="1:13" x14ac:dyDescent="0.25">
      <c r="A174" s="6" t="s">
        <v>214</v>
      </c>
      <c r="B174" s="7">
        <v>46061.910914351851</v>
      </c>
      <c r="C174" s="6" t="s">
        <v>20</v>
      </c>
      <c r="D174" s="6" t="s">
        <v>1062</v>
      </c>
      <c r="E174" s="6" t="s">
        <v>15</v>
      </c>
      <c r="F174" s="10">
        <v>5729459</v>
      </c>
      <c r="G174" s="6">
        <v>2</v>
      </c>
      <c r="H174" s="6" t="s">
        <v>37</v>
      </c>
      <c r="I174" s="6" t="s">
        <v>23</v>
      </c>
      <c r="J174" s="6" t="s">
        <v>23</v>
      </c>
      <c r="K174" s="6" t="s">
        <v>28</v>
      </c>
      <c r="L174" s="6"/>
      <c r="M174" s="6" t="str">
        <f t="shared" si="2"/>
        <v>50L-80L</v>
      </c>
    </row>
    <row r="175" spans="1:13" x14ac:dyDescent="0.25">
      <c r="A175" s="6" t="s">
        <v>215</v>
      </c>
      <c r="B175" s="7">
        <v>46062.137141203704</v>
      </c>
      <c r="C175" s="6" t="s">
        <v>26</v>
      </c>
      <c r="D175" s="6" t="s">
        <v>1059</v>
      </c>
      <c r="E175" s="6" t="s">
        <v>27</v>
      </c>
      <c r="F175" s="10">
        <v>7102147</v>
      </c>
      <c r="G175" s="6">
        <v>2</v>
      </c>
      <c r="H175" s="6" t="s">
        <v>16</v>
      </c>
      <c r="I175" s="6" t="s">
        <v>17</v>
      </c>
      <c r="J175" s="6" t="s">
        <v>17</v>
      </c>
      <c r="K175" s="6" t="s">
        <v>18</v>
      </c>
      <c r="L175" s="6">
        <v>6650000</v>
      </c>
      <c r="M175" s="6" t="str">
        <f t="shared" si="2"/>
        <v>50L-80L</v>
      </c>
    </row>
    <row r="176" spans="1:13" x14ac:dyDescent="0.25">
      <c r="A176" s="6" t="s">
        <v>216</v>
      </c>
      <c r="B176" s="7">
        <v>46062.363368055558</v>
      </c>
      <c r="C176" s="6" t="s">
        <v>30</v>
      </c>
      <c r="D176" s="6" t="s">
        <v>1062</v>
      </c>
      <c r="E176" s="6" t="s">
        <v>15</v>
      </c>
      <c r="F176" s="10">
        <v>3306093</v>
      </c>
      <c r="G176" s="6">
        <v>1</v>
      </c>
      <c r="H176" s="6" t="s">
        <v>16</v>
      </c>
      <c r="I176" s="6" t="s">
        <v>17</v>
      </c>
      <c r="J176" s="6" t="s">
        <v>17</v>
      </c>
      <c r="K176" s="6" t="s">
        <v>18</v>
      </c>
      <c r="L176" s="6">
        <v>3450000</v>
      </c>
      <c r="M176" s="6" t="str">
        <f t="shared" si="2"/>
        <v>30L-50L</v>
      </c>
    </row>
    <row r="177" spans="1:13" x14ac:dyDescent="0.25">
      <c r="A177" s="6" t="s">
        <v>217</v>
      </c>
      <c r="B177" s="7">
        <v>46062.589594907404</v>
      </c>
      <c r="C177" s="6" t="s">
        <v>13</v>
      </c>
      <c r="D177" s="6" t="s">
        <v>1060</v>
      </c>
      <c r="E177" s="6" t="s">
        <v>27</v>
      </c>
      <c r="F177" s="10">
        <v>2852935</v>
      </c>
      <c r="G177" s="6">
        <v>1</v>
      </c>
      <c r="H177" s="6" t="s">
        <v>16</v>
      </c>
      <c r="I177" s="6" t="s">
        <v>23</v>
      </c>
      <c r="J177" s="6" t="s">
        <v>23</v>
      </c>
      <c r="K177" s="6" t="s">
        <v>28</v>
      </c>
      <c r="L177" s="6"/>
      <c r="M177" s="6" t="str">
        <f t="shared" si="2"/>
        <v>Below 30L</v>
      </c>
    </row>
    <row r="178" spans="1:13" x14ac:dyDescent="0.25">
      <c r="A178" s="6" t="s">
        <v>218</v>
      </c>
      <c r="B178" s="7">
        <v>46062.815810185188</v>
      </c>
      <c r="C178" s="6" t="s">
        <v>30</v>
      </c>
      <c r="D178" s="6" t="s">
        <v>1063</v>
      </c>
      <c r="E178" s="6" t="s">
        <v>15</v>
      </c>
      <c r="F178" s="10">
        <v>3516479</v>
      </c>
      <c r="G178" s="6">
        <v>4</v>
      </c>
      <c r="H178" s="6" t="s">
        <v>16</v>
      </c>
      <c r="I178" s="6" t="s">
        <v>17</v>
      </c>
      <c r="J178" s="6" t="s">
        <v>17</v>
      </c>
      <c r="K178" s="6" t="s">
        <v>24</v>
      </c>
      <c r="L178" s="6"/>
      <c r="M178" s="6" t="str">
        <f t="shared" si="2"/>
        <v>30L-50L</v>
      </c>
    </row>
    <row r="179" spans="1:13" x14ac:dyDescent="0.25">
      <c r="A179" s="6" t="s">
        <v>219</v>
      </c>
      <c r="B179" s="7">
        <v>46063.042037037034</v>
      </c>
      <c r="C179" s="6" t="s">
        <v>26</v>
      </c>
      <c r="D179" s="6" t="s">
        <v>1059</v>
      </c>
      <c r="E179" s="6" t="s">
        <v>22</v>
      </c>
      <c r="F179" s="10">
        <v>8436831</v>
      </c>
      <c r="G179" s="6">
        <v>3</v>
      </c>
      <c r="H179" s="6" t="s">
        <v>16</v>
      </c>
      <c r="I179" s="6" t="s">
        <v>17</v>
      </c>
      <c r="J179" s="6" t="s">
        <v>17</v>
      </c>
      <c r="K179" s="6" t="s">
        <v>24</v>
      </c>
      <c r="L179" s="6"/>
      <c r="M179" s="6" t="str">
        <f t="shared" si="2"/>
        <v>80L-1.2Cr</v>
      </c>
    </row>
    <row r="180" spans="1:13" x14ac:dyDescent="0.25">
      <c r="A180" s="6" t="s">
        <v>220</v>
      </c>
      <c r="B180" s="7">
        <v>46063.268263888887</v>
      </c>
      <c r="C180" s="6" t="s">
        <v>33</v>
      </c>
      <c r="D180" s="6" t="s">
        <v>1063</v>
      </c>
      <c r="E180" s="6" t="s">
        <v>22</v>
      </c>
      <c r="F180" s="10">
        <v>6355054</v>
      </c>
      <c r="G180" s="6">
        <v>1</v>
      </c>
      <c r="H180" s="6" t="s">
        <v>37</v>
      </c>
      <c r="I180" s="6" t="s">
        <v>23</v>
      </c>
      <c r="J180" s="6" t="s">
        <v>23</v>
      </c>
      <c r="K180" s="6" t="s">
        <v>18</v>
      </c>
      <c r="L180" s="6">
        <v>5950000</v>
      </c>
      <c r="M180" s="6" t="str">
        <f t="shared" si="2"/>
        <v>50L-80L</v>
      </c>
    </row>
    <row r="181" spans="1:13" x14ac:dyDescent="0.25">
      <c r="A181" s="6" t="s">
        <v>221</v>
      </c>
      <c r="B181" s="7">
        <v>46063.494490740741</v>
      </c>
      <c r="C181" s="6" t="s">
        <v>13</v>
      </c>
      <c r="D181" s="6" t="s">
        <v>1060</v>
      </c>
      <c r="E181" s="6" t="s">
        <v>15</v>
      </c>
      <c r="F181" s="10">
        <v>5755716</v>
      </c>
      <c r="G181" s="6">
        <v>4</v>
      </c>
      <c r="H181" s="6" t="s">
        <v>16</v>
      </c>
      <c r="I181" s="6" t="s">
        <v>23</v>
      </c>
      <c r="J181" s="6" t="s">
        <v>23</v>
      </c>
      <c r="K181" s="6" t="s">
        <v>28</v>
      </c>
      <c r="L181" s="6"/>
      <c r="M181" s="6" t="str">
        <f t="shared" si="2"/>
        <v>50L-80L</v>
      </c>
    </row>
    <row r="182" spans="1:13" x14ac:dyDescent="0.25">
      <c r="A182" s="6" t="s">
        <v>222</v>
      </c>
      <c r="B182" s="7">
        <v>46063.720717592594</v>
      </c>
      <c r="C182" s="6" t="s">
        <v>26</v>
      </c>
      <c r="D182" s="6" t="s">
        <v>1061</v>
      </c>
      <c r="E182" s="6" t="s">
        <v>15</v>
      </c>
      <c r="F182" s="10">
        <v>5251732</v>
      </c>
      <c r="G182" s="6">
        <v>6</v>
      </c>
      <c r="H182" s="6" t="s">
        <v>16</v>
      </c>
      <c r="I182" s="6" t="s">
        <v>17</v>
      </c>
      <c r="J182" s="6" t="s">
        <v>17</v>
      </c>
      <c r="K182" s="6" t="s">
        <v>18</v>
      </c>
      <c r="L182" s="6">
        <v>5100000</v>
      </c>
      <c r="M182" s="6" t="str">
        <f t="shared" si="2"/>
        <v>50L-80L</v>
      </c>
    </row>
    <row r="183" spans="1:13" x14ac:dyDescent="0.25">
      <c r="A183" s="6" t="s">
        <v>223</v>
      </c>
      <c r="B183" s="7">
        <v>46063.946944444448</v>
      </c>
      <c r="C183" s="6" t="s">
        <v>13</v>
      </c>
      <c r="D183" s="6" t="s">
        <v>21</v>
      </c>
      <c r="E183" s="6" t="s">
        <v>15</v>
      </c>
      <c r="F183" s="10">
        <v>6110413</v>
      </c>
      <c r="G183" s="6">
        <v>3</v>
      </c>
      <c r="H183" s="6" t="s">
        <v>16</v>
      </c>
      <c r="I183" s="6" t="s">
        <v>23</v>
      </c>
      <c r="J183" s="6" t="s">
        <v>23</v>
      </c>
      <c r="K183" s="6" t="s">
        <v>28</v>
      </c>
      <c r="L183" s="6"/>
      <c r="M183" s="6" t="str">
        <f t="shared" si="2"/>
        <v>50L-80L</v>
      </c>
    </row>
    <row r="184" spans="1:13" x14ac:dyDescent="0.25">
      <c r="A184" s="6" t="s">
        <v>224</v>
      </c>
      <c r="B184" s="7">
        <v>46064.173171296294</v>
      </c>
      <c r="C184" s="6" t="s">
        <v>33</v>
      </c>
      <c r="D184" s="6" t="s">
        <v>1062</v>
      </c>
      <c r="E184" s="6" t="s">
        <v>15</v>
      </c>
      <c r="F184" s="10">
        <v>5292909</v>
      </c>
      <c r="G184" s="6">
        <v>3</v>
      </c>
      <c r="H184" s="6" t="s">
        <v>16</v>
      </c>
      <c r="I184" s="6" t="s">
        <v>23</v>
      </c>
      <c r="J184" s="6" t="s">
        <v>23</v>
      </c>
      <c r="K184" s="6" t="s">
        <v>28</v>
      </c>
      <c r="L184" s="6"/>
      <c r="M184" s="6" t="str">
        <f t="shared" si="2"/>
        <v>50L-80L</v>
      </c>
    </row>
    <row r="185" spans="1:13" x14ac:dyDescent="0.25">
      <c r="A185" s="6" t="s">
        <v>225</v>
      </c>
      <c r="B185" s="7">
        <v>46064.399398148147</v>
      </c>
      <c r="C185" s="6" t="s">
        <v>36</v>
      </c>
      <c r="D185" s="6" t="s">
        <v>1061</v>
      </c>
      <c r="E185" s="6" t="s">
        <v>15</v>
      </c>
      <c r="F185" s="10">
        <v>6075247</v>
      </c>
      <c r="G185" s="6">
        <v>5</v>
      </c>
      <c r="H185" s="6" t="s">
        <v>16</v>
      </c>
      <c r="I185" s="6" t="s">
        <v>23</v>
      </c>
      <c r="J185" s="6" t="s">
        <v>23</v>
      </c>
      <c r="K185" s="6" t="s">
        <v>28</v>
      </c>
      <c r="L185" s="6"/>
      <c r="M185" s="6" t="str">
        <f t="shared" si="2"/>
        <v>50L-80L</v>
      </c>
    </row>
    <row r="186" spans="1:13" x14ac:dyDescent="0.25">
      <c r="A186" s="6" t="s">
        <v>226</v>
      </c>
      <c r="B186" s="7">
        <v>46064.625625000001</v>
      </c>
      <c r="C186" s="6" t="s">
        <v>26</v>
      </c>
      <c r="D186" s="6" t="s">
        <v>1059</v>
      </c>
      <c r="E186" s="6" t="s">
        <v>22</v>
      </c>
      <c r="F186" s="10">
        <v>6700636</v>
      </c>
      <c r="G186" s="6">
        <v>6</v>
      </c>
      <c r="H186" s="6" t="s">
        <v>16</v>
      </c>
      <c r="I186" s="6" t="s">
        <v>23</v>
      </c>
      <c r="J186" s="6" t="s">
        <v>23</v>
      </c>
      <c r="K186" s="6" t="s">
        <v>28</v>
      </c>
      <c r="L186" s="6"/>
      <c r="M186" s="6" t="str">
        <f t="shared" si="2"/>
        <v>50L-80L</v>
      </c>
    </row>
    <row r="187" spans="1:13" x14ac:dyDescent="0.25">
      <c r="A187" s="6" t="s">
        <v>227</v>
      </c>
      <c r="B187" s="7">
        <v>46064.851851851854</v>
      </c>
      <c r="C187" s="6" t="s">
        <v>30</v>
      </c>
      <c r="D187" s="6" t="s">
        <v>1061</v>
      </c>
      <c r="E187" s="6" t="s">
        <v>27</v>
      </c>
      <c r="F187" s="10">
        <v>4552093</v>
      </c>
      <c r="G187" s="6">
        <v>4</v>
      </c>
      <c r="H187" s="6" t="s">
        <v>37</v>
      </c>
      <c r="I187" s="6" t="s">
        <v>23</v>
      </c>
      <c r="J187" s="6" t="s">
        <v>23</v>
      </c>
      <c r="K187" s="6" t="s">
        <v>28</v>
      </c>
      <c r="L187" s="6"/>
      <c r="M187" s="6" t="str">
        <f t="shared" si="2"/>
        <v>30L-50L</v>
      </c>
    </row>
    <row r="188" spans="1:13" x14ac:dyDescent="0.25">
      <c r="A188" s="6" t="s">
        <v>228</v>
      </c>
      <c r="B188" s="7">
        <v>46065.0780787037</v>
      </c>
      <c r="C188" s="6" t="s">
        <v>36</v>
      </c>
      <c r="D188" s="6" t="s">
        <v>1062</v>
      </c>
      <c r="E188" s="6" t="s">
        <v>27</v>
      </c>
      <c r="F188" s="10">
        <v>2270050</v>
      </c>
      <c r="G188" s="6">
        <v>2</v>
      </c>
      <c r="H188" s="6" t="s">
        <v>16</v>
      </c>
      <c r="I188" s="6" t="s">
        <v>17</v>
      </c>
      <c r="J188" s="6" t="s">
        <v>17</v>
      </c>
      <c r="K188" s="6" t="s">
        <v>24</v>
      </c>
      <c r="L188" s="6"/>
      <c r="M188" s="6" t="str">
        <f t="shared" si="2"/>
        <v>Below 30L</v>
      </c>
    </row>
    <row r="189" spans="1:13" x14ac:dyDescent="0.25">
      <c r="A189" s="6" t="s">
        <v>229</v>
      </c>
      <c r="B189" s="7">
        <v>46065.304305555554</v>
      </c>
      <c r="C189" s="6" t="s">
        <v>20</v>
      </c>
      <c r="D189" s="6" t="s">
        <v>1059</v>
      </c>
      <c r="E189" s="6" t="s">
        <v>22</v>
      </c>
      <c r="F189" s="10">
        <v>7988415</v>
      </c>
      <c r="G189" s="6">
        <v>3</v>
      </c>
      <c r="H189" s="6" t="s">
        <v>37</v>
      </c>
      <c r="I189" s="6" t="s">
        <v>23</v>
      </c>
      <c r="J189" s="6" t="s">
        <v>23</v>
      </c>
      <c r="K189" s="6" t="s">
        <v>28</v>
      </c>
      <c r="L189" s="6"/>
      <c r="M189" s="6" t="str">
        <f t="shared" si="2"/>
        <v>50L-80L</v>
      </c>
    </row>
    <row r="190" spans="1:13" x14ac:dyDescent="0.25">
      <c r="A190" s="6" t="s">
        <v>230</v>
      </c>
      <c r="B190" s="7">
        <v>46065.530532407407</v>
      </c>
      <c r="C190" s="6" t="s">
        <v>20</v>
      </c>
      <c r="D190" s="6" t="s">
        <v>21</v>
      </c>
      <c r="E190" s="6" t="s">
        <v>22</v>
      </c>
      <c r="F190" s="10">
        <v>10989271</v>
      </c>
      <c r="G190" s="6">
        <v>4</v>
      </c>
      <c r="H190" s="6" t="s">
        <v>16</v>
      </c>
      <c r="I190" s="6" t="s">
        <v>17</v>
      </c>
      <c r="J190" s="6" t="s">
        <v>17</v>
      </c>
      <c r="K190" s="6" t="s">
        <v>24</v>
      </c>
      <c r="L190" s="6"/>
      <c r="M190" s="6" t="str">
        <f t="shared" si="2"/>
        <v>80L-1.2Cr</v>
      </c>
    </row>
    <row r="191" spans="1:13" x14ac:dyDescent="0.25">
      <c r="A191" s="6" t="s">
        <v>231</v>
      </c>
      <c r="B191" s="7">
        <v>46065.75675925926</v>
      </c>
      <c r="C191" s="6" t="s">
        <v>26</v>
      </c>
      <c r="D191" s="6" t="s">
        <v>1062</v>
      </c>
      <c r="E191" s="6" t="s">
        <v>22</v>
      </c>
      <c r="F191" s="10">
        <v>7594874</v>
      </c>
      <c r="G191" s="6">
        <v>1</v>
      </c>
      <c r="H191" s="6" t="s">
        <v>16</v>
      </c>
      <c r="I191" s="6" t="s">
        <v>17</v>
      </c>
      <c r="J191" s="6" t="s">
        <v>23</v>
      </c>
      <c r="K191" s="6" t="s">
        <v>24</v>
      </c>
      <c r="L191" s="6"/>
      <c r="M191" s="6" t="str">
        <f t="shared" si="2"/>
        <v>50L-80L</v>
      </c>
    </row>
    <row r="192" spans="1:13" x14ac:dyDescent="0.25">
      <c r="A192" s="6" t="s">
        <v>232</v>
      </c>
      <c r="B192" s="7">
        <v>46065.982986111114</v>
      </c>
      <c r="C192" s="6" t="s">
        <v>13</v>
      </c>
      <c r="D192" s="6" t="s">
        <v>1059</v>
      </c>
      <c r="E192" s="6" t="s">
        <v>15</v>
      </c>
      <c r="F192" s="10">
        <v>4441246</v>
      </c>
      <c r="G192" s="6">
        <v>2</v>
      </c>
      <c r="H192" s="6" t="s">
        <v>16</v>
      </c>
      <c r="I192" s="6" t="s">
        <v>23</v>
      </c>
      <c r="J192" s="6" t="s">
        <v>23</v>
      </c>
      <c r="K192" s="6" t="s">
        <v>28</v>
      </c>
      <c r="L192" s="6"/>
      <c r="M192" s="6" t="str">
        <f t="shared" si="2"/>
        <v>30L-50L</v>
      </c>
    </row>
    <row r="193" spans="1:13" x14ac:dyDescent="0.25">
      <c r="A193" s="6" t="s">
        <v>233</v>
      </c>
      <c r="B193" s="7">
        <v>46066.20921296296</v>
      </c>
      <c r="C193" s="6" t="s">
        <v>36</v>
      </c>
      <c r="D193" s="6" t="s">
        <v>1060</v>
      </c>
      <c r="E193" s="6" t="s">
        <v>27</v>
      </c>
      <c r="F193" s="10">
        <v>3270171</v>
      </c>
      <c r="G193" s="6">
        <v>4</v>
      </c>
      <c r="H193" s="6" t="s">
        <v>16</v>
      </c>
      <c r="I193" s="6" t="s">
        <v>17</v>
      </c>
      <c r="J193" s="6" t="s">
        <v>23</v>
      </c>
      <c r="K193" s="6" t="s">
        <v>18</v>
      </c>
      <c r="L193" s="6">
        <v>3100000</v>
      </c>
      <c r="M193" s="6" t="str">
        <f t="shared" si="2"/>
        <v>30L-50L</v>
      </c>
    </row>
    <row r="194" spans="1:13" x14ac:dyDescent="0.25">
      <c r="A194" s="6" t="s">
        <v>234</v>
      </c>
      <c r="B194" s="7">
        <v>46066.435439814813</v>
      </c>
      <c r="C194" s="6" t="s">
        <v>33</v>
      </c>
      <c r="D194" s="6" t="s">
        <v>21</v>
      </c>
      <c r="E194" s="6" t="s">
        <v>22</v>
      </c>
      <c r="F194" s="10">
        <v>7344385</v>
      </c>
      <c r="G194" s="6">
        <v>3</v>
      </c>
      <c r="H194" s="6" t="s">
        <v>16</v>
      </c>
      <c r="I194" s="6" t="s">
        <v>23</v>
      </c>
      <c r="J194" s="6" t="s">
        <v>17</v>
      </c>
      <c r="K194" s="6" t="s">
        <v>18</v>
      </c>
      <c r="L194" s="6">
        <v>7550000</v>
      </c>
      <c r="M194" s="6" t="str">
        <f t="shared" ref="M194:M257" si="3">IF(F194&lt;3000000,"Below 30L",IF(F194&lt;5000000,"30L-50L",IF(F194&lt;8000000,"50L-80L",IF(F194&lt;12000000,"80L-1.2Cr","Above 1.2Cr"))))</f>
        <v>50L-80L</v>
      </c>
    </row>
    <row r="195" spans="1:13" x14ac:dyDescent="0.25">
      <c r="A195" s="6" t="s">
        <v>235</v>
      </c>
      <c r="B195" s="7">
        <v>46066.661666666667</v>
      </c>
      <c r="C195" s="6" t="s">
        <v>30</v>
      </c>
      <c r="D195" s="6" t="s">
        <v>1062</v>
      </c>
      <c r="E195" s="6" t="s">
        <v>22</v>
      </c>
      <c r="F195" s="10">
        <v>11038033</v>
      </c>
      <c r="G195" s="6">
        <v>2</v>
      </c>
      <c r="H195" s="6" t="s">
        <v>16</v>
      </c>
      <c r="I195" s="6" t="s">
        <v>17</v>
      </c>
      <c r="J195" s="6" t="s">
        <v>23</v>
      </c>
      <c r="K195" s="6" t="s">
        <v>24</v>
      </c>
      <c r="L195" s="6"/>
      <c r="M195" s="6" t="str">
        <f t="shared" si="3"/>
        <v>80L-1.2Cr</v>
      </c>
    </row>
    <row r="196" spans="1:13" x14ac:dyDescent="0.25">
      <c r="A196" s="6" t="s">
        <v>236</v>
      </c>
      <c r="B196" s="7">
        <v>46066.88789351852</v>
      </c>
      <c r="C196" s="6" t="s">
        <v>26</v>
      </c>
      <c r="D196" s="6" t="s">
        <v>1059</v>
      </c>
      <c r="E196" s="6" t="s">
        <v>15</v>
      </c>
      <c r="F196" s="10">
        <v>3656030</v>
      </c>
      <c r="G196" s="6">
        <v>3</v>
      </c>
      <c r="H196" s="6" t="s">
        <v>37</v>
      </c>
      <c r="I196" s="6" t="s">
        <v>17</v>
      </c>
      <c r="J196" s="6" t="s">
        <v>17</v>
      </c>
      <c r="K196" s="6" t="s">
        <v>24</v>
      </c>
      <c r="L196" s="6"/>
      <c r="M196" s="6" t="str">
        <f t="shared" si="3"/>
        <v>30L-50L</v>
      </c>
    </row>
    <row r="197" spans="1:13" x14ac:dyDescent="0.25">
      <c r="A197" s="6" t="s">
        <v>237</v>
      </c>
      <c r="B197" s="7">
        <v>46067.114108796297</v>
      </c>
      <c r="C197" s="6" t="s">
        <v>26</v>
      </c>
      <c r="D197" s="6" t="s">
        <v>1061</v>
      </c>
      <c r="E197" s="6" t="s">
        <v>15</v>
      </c>
      <c r="F197" s="10">
        <v>5997405</v>
      </c>
      <c r="G197" s="6">
        <v>1</v>
      </c>
      <c r="H197" s="6" t="s">
        <v>16</v>
      </c>
      <c r="I197" s="6" t="s">
        <v>23</v>
      </c>
      <c r="J197" s="6" t="s">
        <v>23</v>
      </c>
      <c r="K197" s="6" t="s">
        <v>28</v>
      </c>
      <c r="L197" s="6"/>
      <c r="M197" s="6" t="str">
        <f t="shared" si="3"/>
        <v>50L-80L</v>
      </c>
    </row>
    <row r="198" spans="1:13" x14ac:dyDescent="0.25">
      <c r="A198" s="6" t="s">
        <v>238</v>
      </c>
      <c r="B198" s="7">
        <v>46067.34033564815</v>
      </c>
      <c r="C198" s="6" t="s">
        <v>30</v>
      </c>
      <c r="D198" s="6" t="s">
        <v>1061</v>
      </c>
      <c r="E198" s="6" t="s">
        <v>15</v>
      </c>
      <c r="F198" s="10">
        <v>4365039</v>
      </c>
      <c r="G198" s="6">
        <v>2</v>
      </c>
      <c r="H198" s="6" t="s">
        <v>16</v>
      </c>
      <c r="I198" s="6" t="s">
        <v>17</v>
      </c>
      <c r="J198" s="6" t="s">
        <v>23</v>
      </c>
      <c r="K198" s="6" t="s">
        <v>18</v>
      </c>
      <c r="L198" s="6">
        <v>4200000</v>
      </c>
      <c r="M198" s="6" t="str">
        <f t="shared" si="3"/>
        <v>30L-50L</v>
      </c>
    </row>
    <row r="199" spans="1:13" x14ac:dyDescent="0.25">
      <c r="A199" s="6" t="s">
        <v>239</v>
      </c>
      <c r="B199" s="7">
        <v>46067.566562499997</v>
      </c>
      <c r="C199" s="6" t="s">
        <v>36</v>
      </c>
      <c r="D199" s="6" t="s">
        <v>1061</v>
      </c>
      <c r="E199" s="6" t="s">
        <v>27</v>
      </c>
      <c r="F199" s="10">
        <v>2744360</v>
      </c>
      <c r="G199" s="6">
        <v>4</v>
      </c>
      <c r="H199" s="6" t="s">
        <v>37</v>
      </c>
      <c r="I199" s="6" t="s">
        <v>17</v>
      </c>
      <c r="J199" s="6" t="s">
        <v>23</v>
      </c>
      <c r="K199" s="6" t="s">
        <v>24</v>
      </c>
      <c r="L199" s="6"/>
      <c r="M199" s="6" t="str">
        <f t="shared" si="3"/>
        <v>Below 30L</v>
      </c>
    </row>
    <row r="200" spans="1:13" x14ac:dyDescent="0.25">
      <c r="A200" s="6" t="s">
        <v>240</v>
      </c>
      <c r="B200" s="7">
        <v>46067.79278935185</v>
      </c>
      <c r="C200" s="6" t="s">
        <v>36</v>
      </c>
      <c r="D200" s="6" t="s">
        <v>1063</v>
      </c>
      <c r="E200" s="6" t="s">
        <v>15</v>
      </c>
      <c r="F200" s="10">
        <v>5452165</v>
      </c>
      <c r="G200" s="6">
        <v>1</v>
      </c>
      <c r="H200" s="6" t="s">
        <v>37</v>
      </c>
      <c r="I200" s="6" t="s">
        <v>23</v>
      </c>
      <c r="J200" s="6" t="s">
        <v>23</v>
      </c>
      <c r="K200" s="6" t="s">
        <v>28</v>
      </c>
      <c r="L200" s="6"/>
      <c r="M200" s="6" t="str">
        <f t="shared" si="3"/>
        <v>50L-80L</v>
      </c>
    </row>
    <row r="201" spans="1:13" x14ac:dyDescent="0.25">
      <c r="A201" s="6" t="s">
        <v>241</v>
      </c>
      <c r="B201" s="7">
        <v>46068.019016203703</v>
      </c>
      <c r="C201" s="6" t="s">
        <v>36</v>
      </c>
      <c r="D201" s="6" t="s">
        <v>1059</v>
      </c>
      <c r="E201" s="6" t="s">
        <v>15</v>
      </c>
      <c r="F201" s="10">
        <v>4952414</v>
      </c>
      <c r="G201" s="6">
        <v>1</v>
      </c>
      <c r="H201" s="6" t="s">
        <v>37</v>
      </c>
      <c r="I201" s="6" t="s">
        <v>23</v>
      </c>
      <c r="J201" s="6" t="s">
        <v>23</v>
      </c>
      <c r="K201" s="6" t="s">
        <v>28</v>
      </c>
      <c r="L201" s="6"/>
      <c r="M201" s="6" t="str">
        <f t="shared" si="3"/>
        <v>30L-50L</v>
      </c>
    </row>
    <row r="202" spans="1:13" x14ac:dyDescent="0.25">
      <c r="A202" s="6" t="s">
        <v>242</v>
      </c>
      <c r="B202" s="7">
        <v>46068.245243055557</v>
      </c>
      <c r="C202" s="6" t="s">
        <v>30</v>
      </c>
      <c r="D202" s="6" t="s">
        <v>1063</v>
      </c>
      <c r="E202" s="6" t="s">
        <v>27</v>
      </c>
      <c r="F202" s="10">
        <v>4846586</v>
      </c>
      <c r="G202" s="6">
        <v>6</v>
      </c>
      <c r="H202" s="6" t="s">
        <v>16</v>
      </c>
      <c r="I202" s="6" t="s">
        <v>17</v>
      </c>
      <c r="J202" s="6" t="s">
        <v>23</v>
      </c>
      <c r="K202" s="6" t="s">
        <v>24</v>
      </c>
      <c r="L202" s="6"/>
      <c r="M202" s="6" t="str">
        <f t="shared" si="3"/>
        <v>30L-50L</v>
      </c>
    </row>
    <row r="203" spans="1:13" x14ac:dyDescent="0.25">
      <c r="A203" s="6" t="s">
        <v>243</v>
      </c>
      <c r="B203" s="7">
        <v>46068.47146990741</v>
      </c>
      <c r="C203" s="6" t="s">
        <v>13</v>
      </c>
      <c r="D203" s="6" t="s">
        <v>1059</v>
      </c>
      <c r="E203" s="6" t="s">
        <v>15</v>
      </c>
      <c r="F203" s="10">
        <v>5612549</v>
      </c>
      <c r="G203" s="6">
        <v>1</v>
      </c>
      <c r="H203" s="6" t="s">
        <v>37</v>
      </c>
      <c r="I203" s="6" t="s">
        <v>23</v>
      </c>
      <c r="J203" s="6" t="s">
        <v>23</v>
      </c>
      <c r="K203" s="6" t="s">
        <v>28</v>
      </c>
      <c r="L203" s="6"/>
      <c r="M203" s="6" t="str">
        <f t="shared" si="3"/>
        <v>50L-80L</v>
      </c>
    </row>
    <row r="204" spans="1:13" x14ac:dyDescent="0.25">
      <c r="A204" s="6" t="s">
        <v>244</v>
      </c>
      <c r="B204" s="7">
        <v>46068.697696759256</v>
      </c>
      <c r="C204" s="6" t="s">
        <v>13</v>
      </c>
      <c r="D204" s="6" t="s">
        <v>1059</v>
      </c>
      <c r="E204" s="6" t="s">
        <v>15</v>
      </c>
      <c r="F204" s="10">
        <v>4482795</v>
      </c>
      <c r="G204" s="6">
        <v>2</v>
      </c>
      <c r="H204" s="6" t="s">
        <v>16</v>
      </c>
      <c r="I204" s="6" t="s">
        <v>17</v>
      </c>
      <c r="J204" s="6" t="s">
        <v>17</v>
      </c>
      <c r="K204" s="6" t="s">
        <v>24</v>
      </c>
      <c r="L204" s="6"/>
      <c r="M204" s="6" t="str">
        <f t="shared" si="3"/>
        <v>30L-50L</v>
      </c>
    </row>
    <row r="205" spans="1:13" x14ac:dyDescent="0.25">
      <c r="A205" s="6" t="s">
        <v>245</v>
      </c>
      <c r="B205" s="7">
        <v>46068.92392361111</v>
      </c>
      <c r="C205" s="6" t="s">
        <v>36</v>
      </c>
      <c r="D205" s="6" t="s">
        <v>21</v>
      </c>
      <c r="E205" s="6" t="s">
        <v>15</v>
      </c>
      <c r="F205" s="10">
        <v>6421607</v>
      </c>
      <c r="G205" s="6">
        <v>6</v>
      </c>
      <c r="H205" s="6" t="s">
        <v>16</v>
      </c>
      <c r="I205" s="6" t="s">
        <v>23</v>
      </c>
      <c r="J205" s="6" t="s">
        <v>23</v>
      </c>
      <c r="K205" s="6" t="s">
        <v>28</v>
      </c>
      <c r="L205" s="6"/>
      <c r="M205" s="6" t="str">
        <f t="shared" si="3"/>
        <v>50L-80L</v>
      </c>
    </row>
    <row r="206" spans="1:13" x14ac:dyDescent="0.25">
      <c r="A206" s="6" t="s">
        <v>246</v>
      </c>
      <c r="B206" s="7">
        <v>46069.150150462963</v>
      </c>
      <c r="C206" s="6" t="s">
        <v>30</v>
      </c>
      <c r="D206" s="6" t="s">
        <v>1060</v>
      </c>
      <c r="E206" s="6" t="s">
        <v>22</v>
      </c>
      <c r="F206" s="10">
        <v>9715359</v>
      </c>
      <c r="G206" s="6">
        <v>4</v>
      </c>
      <c r="H206" s="6" t="s">
        <v>16</v>
      </c>
      <c r="I206" s="6" t="s">
        <v>23</v>
      </c>
      <c r="J206" s="6" t="s">
        <v>17</v>
      </c>
      <c r="K206" s="6" t="s">
        <v>28</v>
      </c>
      <c r="L206" s="6"/>
      <c r="M206" s="6" t="str">
        <f t="shared" si="3"/>
        <v>80L-1.2Cr</v>
      </c>
    </row>
    <row r="207" spans="1:13" x14ac:dyDescent="0.25">
      <c r="A207" s="6" t="s">
        <v>247</v>
      </c>
      <c r="B207" s="7">
        <v>46069.376377314817</v>
      </c>
      <c r="C207" s="6" t="s">
        <v>13</v>
      </c>
      <c r="D207" s="6" t="s">
        <v>1063</v>
      </c>
      <c r="E207" s="6" t="s">
        <v>27</v>
      </c>
      <c r="F207" s="10">
        <v>7043322</v>
      </c>
      <c r="G207" s="6">
        <v>3</v>
      </c>
      <c r="H207" s="6" t="s">
        <v>16</v>
      </c>
      <c r="I207" s="6" t="s">
        <v>17</v>
      </c>
      <c r="J207" s="6" t="s">
        <v>17</v>
      </c>
      <c r="K207" s="6" t="s">
        <v>24</v>
      </c>
      <c r="L207" s="6"/>
      <c r="M207" s="6" t="str">
        <f t="shared" si="3"/>
        <v>50L-80L</v>
      </c>
    </row>
    <row r="208" spans="1:13" x14ac:dyDescent="0.25">
      <c r="A208" s="6" t="s">
        <v>248</v>
      </c>
      <c r="B208" s="7">
        <v>46069.60260416667</v>
      </c>
      <c r="C208" s="6" t="s">
        <v>13</v>
      </c>
      <c r="D208" s="6" t="s">
        <v>1062</v>
      </c>
      <c r="E208" s="6" t="s">
        <v>15</v>
      </c>
      <c r="F208" s="10">
        <v>8542755</v>
      </c>
      <c r="G208" s="6">
        <v>5</v>
      </c>
      <c r="H208" s="6" t="s">
        <v>16</v>
      </c>
      <c r="I208" s="6" t="s">
        <v>17</v>
      </c>
      <c r="J208" s="6" t="s">
        <v>17</v>
      </c>
      <c r="K208" s="6" t="s">
        <v>24</v>
      </c>
      <c r="L208" s="6"/>
      <c r="M208" s="6" t="str">
        <f t="shared" si="3"/>
        <v>80L-1.2Cr</v>
      </c>
    </row>
    <row r="209" spans="1:13" x14ac:dyDescent="0.25">
      <c r="A209" s="6" t="s">
        <v>249</v>
      </c>
      <c r="B209" s="7">
        <v>46069.828831018516</v>
      </c>
      <c r="C209" s="6" t="s">
        <v>30</v>
      </c>
      <c r="D209" s="6" t="s">
        <v>1060</v>
      </c>
      <c r="E209" s="6" t="s">
        <v>27</v>
      </c>
      <c r="F209" s="10">
        <v>1697097</v>
      </c>
      <c r="G209" s="6">
        <v>1</v>
      </c>
      <c r="H209" s="6" t="s">
        <v>16</v>
      </c>
      <c r="I209" s="6" t="s">
        <v>23</v>
      </c>
      <c r="J209" s="6" t="s">
        <v>17</v>
      </c>
      <c r="K209" s="6" t="s">
        <v>28</v>
      </c>
      <c r="L209" s="6"/>
      <c r="M209" s="6" t="str">
        <f t="shared" si="3"/>
        <v>Below 30L</v>
      </c>
    </row>
    <row r="210" spans="1:13" x14ac:dyDescent="0.25">
      <c r="A210" s="6" t="s">
        <v>250</v>
      </c>
      <c r="B210" s="7">
        <v>46070.05505787037</v>
      </c>
      <c r="C210" s="6" t="s">
        <v>13</v>
      </c>
      <c r="D210" s="6" t="s">
        <v>1059</v>
      </c>
      <c r="E210" s="6" t="s">
        <v>15</v>
      </c>
      <c r="F210" s="10">
        <v>4788214</v>
      </c>
      <c r="G210" s="6">
        <v>4</v>
      </c>
      <c r="H210" s="6" t="s">
        <v>16</v>
      </c>
      <c r="I210" s="6" t="s">
        <v>17</v>
      </c>
      <c r="J210" s="6" t="s">
        <v>23</v>
      </c>
      <c r="K210" s="6" t="s">
        <v>18</v>
      </c>
      <c r="L210" s="6">
        <v>5000000</v>
      </c>
      <c r="M210" s="6" t="str">
        <f t="shared" si="3"/>
        <v>30L-50L</v>
      </c>
    </row>
    <row r="211" spans="1:13" x14ac:dyDescent="0.25">
      <c r="A211" s="6" t="s">
        <v>251</v>
      </c>
      <c r="B211" s="7">
        <v>46070.281284722223</v>
      </c>
      <c r="C211" s="6" t="s">
        <v>13</v>
      </c>
      <c r="D211" s="6" t="s">
        <v>1061</v>
      </c>
      <c r="E211" s="6" t="s">
        <v>27</v>
      </c>
      <c r="F211" s="10">
        <v>4133388</v>
      </c>
      <c r="G211" s="6">
        <v>3</v>
      </c>
      <c r="H211" s="6" t="s">
        <v>16</v>
      </c>
      <c r="I211" s="6" t="s">
        <v>17</v>
      </c>
      <c r="J211" s="6" t="s">
        <v>23</v>
      </c>
      <c r="K211" s="6" t="s">
        <v>24</v>
      </c>
      <c r="L211" s="6"/>
      <c r="M211" s="6" t="str">
        <f t="shared" si="3"/>
        <v>30L-50L</v>
      </c>
    </row>
    <row r="212" spans="1:13" x14ac:dyDescent="0.25">
      <c r="A212" s="6" t="s">
        <v>252</v>
      </c>
      <c r="B212" s="7">
        <v>46070.507511574076</v>
      </c>
      <c r="C212" s="6" t="s">
        <v>20</v>
      </c>
      <c r="D212" s="6" t="s">
        <v>21</v>
      </c>
      <c r="E212" s="6" t="s">
        <v>22</v>
      </c>
      <c r="F212" s="10">
        <v>10977325</v>
      </c>
      <c r="G212" s="6">
        <v>4</v>
      </c>
      <c r="H212" s="6" t="s">
        <v>16</v>
      </c>
      <c r="I212" s="6" t="s">
        <v>17</v>
      </c>
      <c r="J212" s="6" t="s">
        <v>23</v>
      </c>
      <c r="K212" s="6" t="s">
        <v>18</v>
      </c>
      <c r="L212" s="6">
        <v>10150000</v>
      </c>
      <c r="M212" s="6" t="str">
        <f t="shared" si="3"/>
        <v>80L-1.2Cr</v>
      </c>
    </row>
    <row r="213" spans="1:13" x14ac:dyDescent="0.25">
      <c r="A213" s="6" t="s">
        <v>253</v>
      </c>
      <c r="B213" s="7">
        <v>46070.733738425923</v>
      </c>
      <c r="C213" s="6" t="s">
        <v>30</v>
      </c>
      <c r="D213" s="6" t="s">
        <v>1060</v>
      </c>
      <c r="E213" s="6" t="s">
        <v>27</v>
      </c>
      <c r="F213" s="10">
        <v>3454152</v>
      </c>
      <c r="G213" s="6">
        <v>3</v>
      </c>
      <c r="H213" s="6" t="s">
        <v>37</v>
      </c>
      <c r="I213" s="6" t="s">
        <v>17</v>
      </c>
      <c r="J213" s="6" t="s">
        <v>23</v>
      </c>
      <c r="K213" s="6" t="s">
        <v>24</v>
      </c>
      <c r="L213" s="6"/>
      <c r="M213" s="6" t="str">
        <f t="shared" si="3"/>
        <v>30L-50L</v>
      </c>
    </row>
    <row r="214" spans="1:13" x14ac:dyDescent="0.25">
      <c r="A214" s="6" t="s">
        <v>254</v>
      </c>
      <c r="B214" s="7">
        <v>46070.959965277776</v>
      </c>
      <c r="C214" s="6" t="s">
        <v>30</v>
      </c>
      <c r="D214" s="6" t="s">
        <v>1059</v>
      </c>
      <c r="E214" s="6" t="s">
        <v>15</v>
      </c>
      <c r="F214" s="10">
        <v>5849433</v>
      </c>
      <c r="G214" s="6">
        <v>3</v>
      </c>
      <c r="H214" s="6" t="s">
        <v>37</v>
      </c>
      <c r="I214" s="6" t="s">
        <v>23</v>
      </c>
      <c r="J214" s="6" t="s">
        <v>23</v>
      </c>
      <c r="K214" s="6" t="s">
        <v>28</v>
      </c>
      <c r="L214" s="6"/>
      <c r="M214" s="6" t="str">
        <f t="shared" si="3"/>
        <v>50L-80L</v>
      </c>
    </row>
    <row r="215" spans="1:13" x14ac:dyDescent="0.25">
      <c r="A215" s="6" t="s">
        <v>255</v>
      </c>
      <c r="B215" s="7">
        <v>46071.186180555553</v>
      </c>
      <c r="C215" s="6" t="s">
        <v>26</v>
      </c>
      <c r="D215" s="6" t="s">
        <v>1063</v>
      </c>
      <c r="E215" s="6" t="s">
        <v>27</v>
      </c>
      <c r="F215" s="10">
        <v>1795866</v>
      </c>
      <c r="G215" s="6">
        <v>2</v>
      </c>
      <c r="H215" s="6" t="s">
        <v>16</v>
      </c>
      <c r="I215" s="6" t="s">
        <v>17</v>
      </c>
      <c r="J215" s="6" t="s">
        <v>17</v>
      </c>
      <c r="K215" s="6" t="s">
        <v>24</v>
      </c>
      <c r="L215" s="6"/>
      <c r="M215" s="6" t="str">
        <f t="shared" si="3"/>
        <v>Below 30L</v>
      </c>
    </row>
    <row r="216" spans="1:13" x14ac:dyDescent="0.25">
      <c r="A216" s="6" t="s">
        <v>256</v>
      </c>
      <c r="B216" s="7">
        <v>46071.412407407406</v>
      </c>
      <c r="C216" s="6" t="s">
        <v>30</v>
      </c>
      <c r="D216" s="6" t="s">
        <v>1062</v>
      </c>
      <c r="E216" s="6" t="s">
        <v>22</v>
      </c>
      <c r="F216" s="10">
        <v>17155116</v>
      </c>
      <c r="G216" s="6">
        <v>2</v>
      </c>
      <c r="H216" s="6" t="s">
        <v>37</v>
      </c>
      <c r="I216" s="6" t="s">
        <v>23</v>
      </c>
      <c r="J216" s="6" t="s">
        <v>23</v>
      </c>
      <c r="K216" s="6" t="s">
        <v>28</v>
      </c>
      <c r="L216" s="6"/>
      <c r="M216" s="6" t="str">
        <f t="shared" si="3"/>
        <v>Above 1.2Cr</v>
      </c>
    </row>
    <row r="217" spans="1:13" x14ac:dyDescent="0.25">
      <c r="A217" s="6" t="s">
        <v>257</v>
      </c>
      <c r="B217" s="7">
        <v>46071.63863425926</v>
      </c>
      <c r="C217" s="6" t="s">
        <v>26</v>
      </c>
      <c r="D217" s="6" t="s">
        <v>1059</v>
      </c>
      <c r="E217" s="6" t="s">
        <v>15</v>
      </c>
      <c r="F217" s="10">
        <v>5832560</v>
      </c>
      <c r="G217" s="6">
        <v>4</v>
      </c>
      <c r="H217" s="6" t="s">
        <v>16</v>
      </c>
      <c r="I217" s="6" t="s">
        <v>17</v>
      </c>
      <c r="J217" s="6" t="s">
        <v>23</v>
      </c>
      <c r="K217" s="6" t="s">
        <v>24</v>
      </c>
      <c r="L217" s="6"/>
      <c r="M217" s="6" t="str">
        <f t="shared" si="3"/>
        <v>50L-80L</v>
      </c>
    </row>
    <row r="218" spans="1:13" x14ac:dyDescent="0.25">
      <c r="A218" s="6" t="s">
        <v>258</v>
      </c>
      <c r="B218" s="7">
        <v>46071.864861111113</v>
      </c>
      <c r="C218" s="6" t="s">
        <v>26</v>
      </c>
      <c r="D218" s="6" t="s">
        <v>1059</v>
      </c>
      <c r="E218" s="6" t="s">
        <v>27</v>
      </c>
      <c r="F218" s="10">
        <v>1549522</v>
      </c>
      <c r="G218" s="6">
        <v>3</v>
      </c>
      <c r="H218" s="6" t="s">
        <v>16</v>
      </c>
      <c r="I218" s="6" t="s">
        <v>17</v>
      </c>
      <c r="J218" s="6" t="s">
        <v>17</v>
      </c>
      <c r="K218" s="6" t="s">
        <v>24</v>
      </c>
      <c r="L218" s="6"/>
      <c r="M218" s="6" t="str">
        <f t="shared" si="3"/>
        <v>Below 30L</v>
      </c>
    </row>
    <row r="219" spans="1:13" x14ac:dyDescent="0.25">
      <c r="A219" s="6" t="s">
        <v>259</v>
      </c>
      <c r="B219" s="7">
        <v>46072.091087962966</v>
      </c>
      <c r="C219" s="6" t="s">
        <v>36</v>
      </c>
      <c r="D219" s="6" t="s">
        <v>1062</v>
      </c>
      <c r="E219" s="6" t="s">
        <v>15</v>
      </c>
      <c r="F219" s="10">
        <v>5921970</v>
      </c>
      <c r="G219" s="6">
        <v>3</v>
      </c>
      <c r="H219" s="6" t="s">
        <v>16</v>
      </c>
      <c r="I219" s="6" t="s">
        <v>17</v>
      </c>
      <c r="J219" s="6" t="s">
        <v>23</v>
      </c>
      <c r="K219" s="6" t="s">
        <v>24</v>
      </c>
      <c r="L219" s="6"/>
      <c r="M219" s="6" t="str">
        <f t="shared" si="3"/>
        <v>50L-80L</v>
      </c>
    </row>
    <row r="220" spans="1:13" x14ac:dyDescent="0.25">
      <c r="A220" s="6" t="s">
        <v>260</v>
      </c>
      <c r="B220" s="7">
        <v>46072.317314814813</v>
      </c>
      <c r="C220" s="6" t="s">
        <v>30</v>
      </c>
      <c r="D220" s="6" t="s">
        <v>1062</v>
      </c>
      <c r="E220" s="6" t="s">
        <v>27</v>
      </c>
      <c r="F220" s="10">
        <v>6815921</v>
      </c>
      <c r="G220" s="6">
        <v>2</v>
      </c>
      <c r="H220" s="6" t="s">
        <v>37</v>
      </c>
      <c r="I220" s="6" t="s">
        <v>23</v>
      </c>
      <c r="J220" s="6" t="s">
        <v>23</v>
      </c>
      <c r="K220" s="6" t="s">
        <v>28</v>
      </c>
      <c r="L220" s="6"/>
      <c r="M220" s="6" t="str">
        <f t="shared" si="3"/>
        <v>50L-80L</v>
      </c>
    </row>
    <row r="221" spans="1:13" x14ac:dyDescent="0.25">
      <c r="A221" s="6" t="s">
        <v>261</v>
      </c>
      <c r="B221" s="7">
        <v>46072.543541666666</v>
      </c>
      <c r="C221" s="6" t="s">
        <v>36</v>
      </c>
      <c r="D221" s="6" t="s">
        <v>1059</v>
      </c>
      <c r="E221" s="6" t="s">
        <v>15</v>
      </c>
      <c r="F221" s="10">
        <v>3207352</v>
      </c>
      <c r="G221" s="6">
        <v>3</v>
      </c>
      <c r="H221" s="6" t="s">
        <v>37</v>
      </c>
      <c r="I221" s="6" t="s">
        <v>23</v>
      </c>
      <c r="J221" s="6" t="s">
        <v>23</v>
      </c>
      <c r="K221" s="6" t="s">
        <v>28</v>
      </c>
      <c r="L221" s="6"/>
      <c r="M221" s="6" t="str">
        <f t="shared" si="3"/>
        <v>30L-50L</v>
      </c>
    </row>
    <row r="222" spans="1:13" x14ac:dyDescent="0.25">
      <c r="A222" s="6" t="s">
        <v>262</v>
      </c>
      <c r="B222" s="7">
        <v>46072.769768518519</v>
      </c>
      <c r="C222" s="6" t="s">
        <v>30</v>
      </c>
      <c r="D222" s="6" t="s">
        <v>1061</v>
      </c>
      <c r="E222" s="6" t="s">
        <v>22</v>
      </c>
      <c r="F222" s="10">
        <v>6798658</v>
      </c>
      <c r="G222" s="6">
        <v>4</v>
      </c>
      <c r="H222" s="6" t="s">
        <v>16</v>
      </c>
      <c r="I222" s="6" t="s">
        <v>17</v>
      </c>
      <c r="J222" s="6" t="s">
        <v>17</v>
      </c>
      <c r="K222" s="6" t="s">
        <v>18</v>
      </c>
      <c r="L222" s="6">
        <v>6350000</v>
      </c>
      <c r="M222" s="6" t="str">
        <f t="shared" si="3"/>
        <v>50L-80L</v>
      </c>
    </row>
    <row r="223" spans="1:13" x14ac:dyDescent="0.25">
      <c r="A223" s="6" t="s">
        <v>263</v>
      </c>
      <c r="B223" s="7">
        <v>46072.995995370373</v>
      </c>
      <c r="C223" s="6" t="s">
        <v>20</v>
      </c>
      <c r="D223" s="6" t="s">
        <v>1059</v>
      </c>
      <c r="E223" s="6" t="s">
        <v>15</v>
      </c>
      <c r="F223" s="10">
        <v>5758625</v>
      </c>
      <c r="G223" s="6">
        <v>4</v>
      </c>
      <c r="H223" s="6" t="s">
        <v>16</v>
      </c>
      <c r="I223" s="6" t="s">
        <v>17</v>
      </c>
      <c r="J223" s="6" t="s">
        <v>17</v>
      </c>
      <c r="K223" s="6" t="s">
        <v>18</v>
      </c>
      <c r="L223" s="6">
        <v>5450000</v>
      </c>
      <c r="M223" s="6" t="str">
        <f t="shared" si="3"/>
        <v>50L-80L</v>
      </c>
    </row>
    <row r="224" spans="1:13" x14ac:dyDescent="0.25">
      <c r="A224" s="6" t="s">
        <v>264</v>
      </c>
      <c r="B224" s="7">
        <v>46073.222222222219</v>
      </c>
      <c r="C224" s="6" t="s">
        <v>13</v>
      </c>
      <c r="D224" s="6" t="s">
        <v>21</v>
      </c>
      <c r="E224" s="6" t="s">
        <v>15</v>
      </c>
      <c r="F224" s="10">
        <v>5505536</v>
      </c>
      <c r="G224" s="6">
        <v>3</v>
      </c>
      <c r="H224" s="6" t="s">
        <v>16</v>
      </c>
      <c r="I224" s="6" t="s">
        <v>17</v>
      </c>
      <c r="J224" s="6" t="s">
        <v>17</v>
      </c>
      <c r="K224" s="6" t="s">
        <v>18</v>
      </c>
      <c r="L224" s="6">
        <v>5650000</v>
      </c>
      <c r="M224" s="6" t="str">
        <f t="shared" si="3"/>
        <v>50L-80L</v>
      </c>
    </row>
    <row r="225" spans="1:13" x14ac:dyDescent="0.25">
      <c r="A225" s="6" t="s">
        <v>265</v>
      </c>
      <c r="B225" s="7">
        <v>46073.448449074072</v>
      </c>
      <c r="C225" s="6" t="s">
        <v>26</v>
      </c>
      <c r="D225" s="6" t="s">
        <v>1061</v>
      </c>
      <c r="E225" s="6" t="s">
        <v>15</v>
      </c>
      <c r="F225" s="10">
        <v>4310073</v>
      </c>
      <c r="G225" s="6">
        <v>5</v>
      </c>
      <c r="H225" s="6" t="s">
        <v>16</v>
      </c>
      <c r="I225" s="6" t="s">
        <v>23</v>
      </c>
      <c r="J225" s="6" t="s">
        <v>23</v>
      </c>
      <c r="K225" s="6" t="s">
        <v>28</v>
      </c>
      <c r="L225" s="6"/>
      <c r="M225" s="6" t="str">
        <f t="shared" si="3"/>
        <v>30L-50L</v>
      </c>
    </row>
    <row r="226" spans="1:13" x14ac:dyDescent="0.25">
      <c r="A226" s="6" t="s">
        <v>266</v>
      </c>
      <c r="B226" s="7">
        <v>46073.674675925926</v>
      </c>
      <c r="C226" s="6" t="s">
        <v>26</v>
      </c>
      <c r="D226" s="6" t="s">
        <v>21</v>
      </c>
      <c r="E226" s="6" t="s">
        <v>15</v>
      </c>
      <c r="F226" s="10">
        <v>3379747</v>
      </c>
      <c r="G226" s="6">
        <v>4</v>
      </c>
      <c r="H226" s="6" t="s">
        <v>16</v>
      </c>
      <c r="I226" s="6" t="s">
        <v>23</v>
      </c>
      <c r="J226" s="6" t="s">
        <v>23</v>
      </c>
      <c r="K226" s="6" t="s">
        <v>28</v>
      </c>
      <c r="L226" s="6"/>
      <c r="M226" s="6" t="str">
        <f t="shared" si="3"/>
        <v>30L-50L</v>
      </c>
    </row>
    <row r="227" spans="1:13" x14ac:dyDescent="0.25">
      <c r="A227" s="6" t="s">
        <v>267</v>
      </c>
      <c r="B227" s="7">
        <v>46073.900902777779</v>
      </c>
      <c r="C227" s="6" t="s">
        <v>26</v>
      </c>
      <c r="D227" s="6" t="s">
        <v>1062</v>
      </c>
      <c r="E227" s="6" t="s">
        <v>15</v>
      </c>
      <c r="F227" s="10">
        <v>5152874</v>
      </c>
      <c r="G227" s="6">
        <v>3</v>
      </c>
      <c r="H227" s="6" t="s">
        <v>16</v>
      </c>
      <c r="I227" s="6" t="s">
        <v>17</v>
      </c>
      <c r="J227" s="6" t="s">
        <v>23</v>
      </c>
      <c r="K227" s="6" t="s">
        <v>24</v>
      </c>
      <c r="L227" s="6"/>
      <c r="M227" s="6" t="str">
        <f t="shared" si="3"/>
        <v>50L-80L</v>
      </c>
    </row>
    <row r="228" spans="1:13" x14ac:dyDescent="0.25">
      <c r="A228" s="6" t="s">
        <v>268</v>
      </c>
      <c r="B228" s="7">
        <v>46074.127129629633</v>
      </c>
      <c r="C228" s="6" t="s">
        <v>33</v>
      </c>
      <c r="D228" s="6" t="s">
        <v>21</v>
      </c>
      <c r="E228" s="6" t="s">
        <v>15</v>
      </c>
      <c r="F228" s="10">
        <v>6041327</v>
      </c>
      <c r="G228" s="6">
        <v>3</v>
      </c>
      <c r="H228" s="6" t="s">
        <v>16</v>
      </c>
      <c r="I228" s="6" t="s">
        <v>17</v>
      </c>
      <c r="J228" s="6" t="s">
        <v>23</v>
      </c>
      <c r="K228" s="6" t="s">
        <v>24</v>
      </c>
      <c r="L228" s="6"/>
      <c r="M228" s="6" t="str">
        <f t="shared" si="3"/>
        <v>50L-80L</v>
      </c>
    </row>
    <row r="229" spans="1:13" x14ac:dyDescent="0.25">
      <c r="A229" s="6" t="s">
        <v>269</v>
      </c>
      <c r="B229" s="7">
        <v>46074.353356481479</v>
      </c>
      <c r="C229" s="6" t="s">
        <v>26</v>
      </c>
      <c r="D229" s="6" t="s">
        <v>1059</v>
      </c>
      <c r="E229" s="6" t="s">
        <v>22</v>
      </c>
      <c r="F229" s="10">
        <v>8968759</v>
      </c>
      <c r="G229" s="6">
        <v>5</v>
      </c>
      <c r="H229" s="6" t="s">
        <v>37</v>
      </c>
      <c r="I229" s="6" t="s">
        <v>17</v>
      </c>
      <c r="J229" s="6" t="s">
        <v>23</v>
      </c>
      <c r="K229" s="6" t="s">
        <v>24</v>
      </c>
      <c r="L229" s="6"/>
      <c r="M229" s="6" t="str">
        <f t="shared" si="3"/>
        <v>80L-1.2Cr</v>
      </c>
    </row>
    <row r="230" spans="1:13" x14ac:dyDescent="0.25">
      <c r="A230" s="6" t="s">
        <v>270</v>
      </c>
      <c r="B230" s="7">
        <v>46074.579583333332</v>
      </c>
      <c r="C230" s="6" t="s">
        <v>36</v>
      </c>
      <c r="D230" s="6" t="s">
        <v>1061</v>
      </c>
      <c r="E230" s="6" t="s">
        <v>15</v>
      </c>
      <c r="F230" s="10">
        <v>8971896</v>
      </c>
      <c r="G230" s="6">
        <v>3</v>
      </c>
      <c r="H230" s="6" t="s">
        <v>16</v>
      </c>
      <c r="I230" s="6" t="s">
        <v>17</v>
      </c>
      <c r="J230" s="6" t="s">
        <v>17</v>
      </c>
      <c r="K230" s="6" t="s">
        <v>18</v>
      </c>
      <c r="L230" s="6">
        <v>9300000</v>
      </c>
      <c r="M230" s="6" t="str">
        <f t="shared" si="3"/>
        <v>80L-1.2Cr</v>
      </c>
    </row>
    <row r="231" spans="1:13" x14ac:dyDescent="0.25">
      <c r="A231" s="6" t="s">
        <v>271</v>
      </c>
      <c r="B231" s="7">
        <v>46074.805810185186</v>
      </c>
      <c r="C231" s="6" t="s">
        <v>30</v>
      </c>
      <c r="D231" s="6" t="s">
        <v>21</v>
      </c>
      <c r="E231" s="6" t="s">
        <v>15</v>
      </c>
      <c r="F231" s="10">
        <v>3937828</v>
      </c>
      <c r="G231" s="6">
        <v>4</v>
      </c>
      <c r="H231" s="6" t="s">
        <v>37</v>
      </c>
      <c r="I231" s="6" t="s">
        <v>23</v>
      </c>
      <c r="J231" s="6" t="s">
        <v>23</v>
      </c>
      <c r="K231" s="6" t="s">
        <v>18</v>
      </c>
      <c r="L231" s="6">
        <v>3650000</v>
      </c>
      <c r="M231" s="6" t="str">
        <f t="shared" si="3"/>
        <v>30L-50L</v>
      </c>
    </row>
    <row r="232" spans="1:13" x14ac:dyDescent="0.25">
      <c r="A232" s="6" t="s">
        <v>272</v>
      </c>
      <c r="B232" s="7">
        <v>46075.032037037039</v>
      </c>
      <c r="C232" s="6" t="s">
        <v>36</v>
      </c>
      <c r="D232" s="6" t="s">
        <v>1061</v>
      </c>
      <c r="E232" s="6" t="s">
        <v>22</v>
      </c>
      <c r="F232" s="10">
        <v>9434049</v>
      </c>
      <c r="G232" s="6">
        <v>3</v>
      </c>
      <c r="H232" s="6" t="s">
        <v>16</v>
      </c>
      <c r="I232" s="6" t="s">
        <v>17</v>
      </c>
      <c r="J232" s="6" t="s">
        <v>23</v>
      </c>
      <c r="K232" s="6" t="s">
        <v>24</v>
      </c>
      <c r="L232" s="6"/>
      <c r="M232" s="6" t="str">
        <f t="shared" si="3"/>
        <v>80L-1.2Cr</v>
      </c>
    </row>
    <row r="233" spans="1:13" x14ac:dyDescent="0.25">
      <c r="A233" s="6" t="s">
        <v>273</v>
      </c>
      <c r="B233" s="7">
        <v>46075.258263888885</v>
      </c>
      <c r="C233" s="6" t="s">
        <v>20</v>
      </c>
      <c r="D233" s="6" t="s">
        <v>1059</v>
      </c>
      <c r="E233" s="6" t="s">
        <v>15</v>
      </c>
      <c r="F233" s="10">
        <v>3528036</v>
      </c>
      <c r="G233" s="6">
        <v>3</v>
      </c>
      <c r="H233" s="6" t="s">
        <v>16</v>
      </c>
      <c r="I233" s="6" t="s">
        <v>17</v>
      </c>
      <c r="J233" s="6" t="s">
        <v>23</v>
      </c>
      <c r="K233" s="6" t="s">
        <v>24</v>
      </c>
      <c r="L233" s="6"/>
      <c r="M233" s="6" t="str">
        <f t="shared" si="3"/>
        <v>30L-50L</v>
      </c>
    </row>
    <row r="234" spans="1:13" x14ac:dyDescent="0.25">
      <c r="A234" s="6" t="s">
        <v>274</v>
      </c>
      <c r="B234" s="7">
        <v>46075.484479166669</v>
      </c>
      <c r="C234" s="6" t="s">
        <v>20</v>
      </c>
      <c r="D234" s="6" t="s">
        <v>1059</v>
      </c>
      <c r="E234" s="6" t="s">
        <v>27</v>
      </c>
      <c r="F234" s="10">
        <v>2367196</v>
      </c>
      <c r="G234" s="6">
        <v>1</v>
      </c>
      <c r="H234" s="6" t="s">
        <v>16</v>
      </c>
      <c r="I234" s="6" t="s">
        <v>17</v>
      </c>
      <c r="J234" s="6" t="s">
        <v>23</v>
      </c>
      <c r="K234" s="6" t="s">
        <v>24</v>
      </c>
      <c r="L234" s="6"/>
      <c r="M234" s="6" t="str">
        <f t="shared" si="3"/>
        <v>Below 30L</v>
      </c>
    </row>
    <row r="235" spans="1:13" x14ac:dyDescent="0.25">
      <c r="A235" s="6" t="s">
        <v>275</v>
      </c>
      <c r="B235" s="7">
        <v>46075.710706018515</v>
      </c>
      <c r="C235" s="6" t="s">
        <v>20</v>
      </c>
      <c r="D235" s="6" t="s">
        <v>1059</v>
      </c>
      <c r="E235" s="6" t="s">
        <v>27</v>
      </c>
      <c r="F235" s="10">
        <v>5999075</v>
      </c>
      <c r="G235" s="6">
        <v>2</v>
      </c>
      <c r="H235" s="6" t="s">
        <v>16</v>
      </c>
      <c r="I235" s="6" t="s">
        <v>23</v>
      </c>
      <c r="J235" s="6" t="s">
        <v>23</v>
      </c>
      <c r="K235" s="6" t="s">
        <v>28</v>
      </c>
      <c r="L235" s="6"/>
      <c r="M235" s="6" t="str">
        <f t="shared" si="3"/>
        <v>50L-80L</v>
      </c>
    </row>
    <row r="236" spans="1:13" x14ac:dyDescent="0.25">
      <c r="A236" s="6" t="s">
        <v>276</v>
      </c>
      <c r="B236" s="7">
        <v>46075.936932870369</v>
      </c>
      <c r="C236" s="6" t="s">
        <v>13</v>
      </c>
      <c r="D236" s="6" t="s">
        <v>1062</v>
      </c>
      <c r="E236" s="6" t="s">
        <v>22</v>
      </c>
      <c r="F236" s="10">
        <v>9174620</v>
      </c>
      <c r="G236" s="6">
        <v>6</v>
      </c>
      <c r="H236" s="6" t="s">
        <v>16</v>
      </c>
      <c r="I236" s="6" t="s">
        <v>17</v>
      </c>
      <c r="J236" s="6" t="s">
        <v>17</v>
      </c>
      <c r="K236" s="6" t="s">
        <v>24</v>
      </c>
      <c r="L236" s="6"/>
      <c r="M236" s="6" t="str">
        <f t="shared" si="3"/>
        <v>80L-1.2Cr</v>
      </c>
    </row>
    <row r="237" spans="1:13" x14ac:dyDescent="0.25">
      <c r="A237" s="6" t="s">
        <v>277</v>
      </c>
      <c r="B237" s="7">
        <v>46076.163159722222</v>
      </c>
      <c r="C237" s="6" t="s">
        <v>30</v>
      </c>
      <c r="D237" s="6" t="s">
        <v>21</v>
      </c>
      <c r="E237" s="6" t="s">
        <v>22</v>
      </c>
      <c r="F237" s="10">
        <v>8444975</v>
      </c>
      <c r="G237" s="6">
        <v>3</v>
      </c>
      <c r="H237" s="6" t="s">
        <v>16</v>
      </c>
      <c r="I237" s="6" t="s">
        <v>17</v>
      </c>
      <c r="J237" s="6" t="s">
        <v>23</v>
      </c>
      <c r="K237" s="6" t="s">
        <v>24</v>
      </c>
      <c r="L237" s="6"/>
      <c r="M237" s="6" t="str">
        <f t="shared" si="3"/>
        <v>80L-1.2Cr</v>
      </c>
    </row>
    <row r="238" spans="1:13" x14ac:dyDescent="0.25">
      <c r="A238" s="6" t="s">
        <v>278</v>
      </c>
      <c r="B238" s="7">
        <v>46076.389386574076</v>
      </c>
      <c r="C238" s="6" t="s">
        <v>26</v>
      </c>
      <c r="D238" s="6" t="s">
        <v>1061</v>
      </c>
      <c r="E238" s="6" t="s">
        <v>27</v>
      </c>
      <c r="F238" s="10">
        <v>1675607</v>
      </c>
      <c r="G238" s="6">
        <v>3</v>
      </c>
      <c r="H238" s="6" t="s">
        <v>16</v>
      </c>
      <c r="I238" s="6" t="s">
        <v>17</v>
      </c>
      <c r="J238" s="6" t="s">
        <v>23</v>
      </c>
      <c r="K238" s="6" t="s">
        <v>24</v>
      </c>
      <c r="L238" s="6"/>
      <c r="M238" s="6" t="str">
        <f t="shared" si="3"/>
        <v>Below 30L</v>
      </c>
    </row>
    <row r="239" spans="1:13" x14ac:dyDescent="0.25">
      <c r="A239" s="6" t="s">
        <v>279</v>
      </c>
      <c r="B239" s="7">
        <v>46076.615613425929</v>
      </c>
      <c r="C239" s="6" t="s">
        <v>13</v>
      </c>
      <c r="D239" s="6" t="s">
        <v>1060</v>
      </c>
      <c r="E239" s="6" t="s">
        <v>15</v>
      </c>
      <c r="F239" s="10">
        <v>3352156</v>
      </c>
      <c r="G239" s="6">
        <v>5</v>
      </c>
      <c r="H239" s="6" t="s">
        <v>16</v>
      </c>
      <c r="I239" s="6" t="s">
        <v>17</v>
      </c>
      <c r="J239" s="6" t="s">
        <v>17</v>
      </c>
      <c r="K239" s="6" t="s">
        <v>24</v>
      </c>
      <c r="L239" s="6"/>
      <c r="M239" s="6" t="str">
        <f t="shared" si="3"/>
        <v>30L-50L</v>
      </c>
    </row>
    <row r="240" spans="1:13" x14ac:dyDescent="0.25">
      <c r="A240" s="6" t="s">
        <v>280</v>
      </c>
      <c r="B240" s="7">
        <v>46076.841840277775</v>
      </c>
      <c r="C240" s="6" t="s">
        <v>30</v>
      </c>
      <c r="D240" s="6" t="s">
        <v>1061</v>
      </c>
      <c r="E240" s="6" t="s">
        <v>15</v>
      </c>
      <c r="F240" s="10">
        <v>4151052</v>
      </c>
      <c r="G240" s="6">
        <v>3</v>
      </c>
      <c r="H240" s="6" t="s">
        <v>16</v>
      </c>
      <c r="I240" s="6" t="s">
        <v>17</v>
      </c>
      <c r="J240" s="6" t="s">
        <v>23</v>
      </c>
      <c r="K240" s="6" t="s">
        <v>24</v>
      </c>
      <c r="L240" s="6"/>
      <c r="M240" s="6" t="str">
        <f t="shared" si="3"/>
        <v>30L-50L</v>
      </c>
    </row>
    <row r="241" spans="1:13" x14ac:dyDescent="0.25">
      <c r="A241" s="6" t="s">
        <v>281</v>
      </c>
      <c r="B241" s="7">
        <v>46077.068067129629</v>
      </c>
      <c r="C241" s="6" t="s">
        <v>13</v>
      </c>
      <c r="D241" s="6" t="s">
        <v>1059</v>
      </c>
      <c r="E241" s="6" t="s">
        <v>15</v>
      </c>
      <c r="F241" s="10">
        <v>5121826</v>
      </c>
      <c r="G241" s="6">
        <v>3</v>
      </c>
      <c r="H241" s="6" t="s">
        <v>16</v>
      </c>
      <c r="I241" s="6" t="s">
        <v>17</v>
      </c>
      <c r="J241" s="6" t="s">
        <v>23</v>
      </c>
      <c r="K241" s="6" t="s">
        <v>24</v>
      </c>
      <c r="L241" s="6"/>
      <c r="M241" s="6" t="str">
        <f t="shared" si="3"/>
        <v>50L-80L</v>
      </c>
    </row>
    <row r="242" spans="1:13" x14ac:dyDescent="0.25">
      <c r="A242" s="6" t="s">
        <v>282</v>
      </c>
      <c r="B242" s="7">
        <v>46077.294293981482</v>
      </c>
      <c r="C242" s="6" t="s">
        <v>33</v>
      </c>
      <c r="D242" s="6" t="s">
        <v>1061</v>
      </c>
      <c r="E242" s="6" t="s">
        <v>22</v>
      </c>
      <c r="F242" s="10">
        <v>9417473</v>
      </c>
      <c r="G242" s="6">
        <v>4</v>
      </c>
      <c r="H242" s="6" t="s">
        <v>16</v>
      </c>
      <c r="I242" s="6" t="s">
        <v>23</v>
      </c>
      <c r="J242" s="6" t="s">
        <v>17</v>
      </c>
      <c r="K242" s="6" t="s">
        <v>28</v>
      </c>
      <c r="L242" s="6"/>
      <c r="M242" s="6" t="str">
        <f t="shared" si="3"/>
        <v>80L-1.2Cr</v>
      </c>
    </row>
    <row r="243" spans="1:13" x14ac:dyDescent="0.25">
      <c r="A243" s="6" t="s">
        <v>283</v>
      </c>
      <c r="B243" s="7">
        <v>46077.520520833335</v>
      </c>
      <c r="C243" s="6" t="s">
        <v>33</v>
      </c>
      <c r="D243" s="6" t="s">
        <v>1063</v>
      </c>
      <c r="E243" s="6" t="s">
        <v>15</v>
      </c>
      <c r="F243" s="10">
        <v>6052128</v>
      </c>
      <c r="G243" s="6">
        <v>4</v>
      </c>
      <c r="H243" s="6" t="s">
        <v>16</v>
      </c>
      <c r="I243" s="6" t="s">
        <v>17</v>
      </c>
      <c r="J243" s="6" t="s">
        <v>23</v>
      </c>
      <c r="K243" s="6" t="s">
        <v>24</v>
      </c>
      <c r="L243" s="6"/>
      <c r="M243" s="6" t="str">
        <f t="shared" si="3"/>
        <v>50L-80L</v>
      </c>
    </row>
    <row r="244" spans="1:13" x14ac:dyDescent="0.25">
      <c r="A244" s="6" t="s">
        <v>284</v>
      </c>
      <c r="B244" s="7">
        <v>46077.746747685182</v>
      </c>
      <c r="C244" s="6" t="s">
        <v>33</v>
      </c>
      <c r="D244" s="6" t="s">
        <v>1063</v>
      </c>
      <c r="E244" s="6" t="s">
        <v>22</v>
      </c>
      <c r="F244" s="10">
        <v>14062363</v>
      </c>
      <c r="G244" s="6">
        <v>1</v>
      </c>
      <c r="H244" s="6" t="s">
        <v>16</v>
      </c>
      <c r="I244" s="6" t="s">
        <v>17</v>
      </c>
      <c r="J244" s="6" t="s">
        <v>23</v>
      </c>
      <c r="K244" s="6" t="s">
        <v>24</v>
      </c>
      <c r="L244" s="6"/>
      <c r="M244" s="6" t="str">
        <f t="shared" si="3"/>
        <v>Above 1.2Cr</v>
      </c>
    </row>
    <row r="245" spans="1:13" x14ac:dyDescent="0.25">
      <c r="A245" s="6" t="s">
        <v>285</v>
      </c>
      <c r="B245" s="7">
        <v>46077.972974537035</v>
      </c>
      <c r="C245" s="6" t="s">
        <v>26</v>
      </c>
      <c r="D245" s="6" t="s">
        <v>1063</v>
      </c>
      <c r="E245" s="6" t="s">
        <v>27</v>
      </c>
      <c r="F245" s="10">
        <v>7007339</v>
      </c>
      <c r="G245" s="6">
        <v>2</v>
      </c>
      <c r="H245" s="6" t="s">
        <v>37</v>
      </c>
      <c r="I245" s="6" t="s">
        <v>17</v>
      </c>
      <c r="J245" s="6" t="s">
        <v>23</v>
      </c>
      <c r="K245" s="6" t="s">
        <v>24</v>
      </c>
      <c r="L245" s="6"/>
      <c r="M245" s="6" t="str">
        <f t="shared" si="3"/>
        <v>50L-80L</v>
      </c>
    </row>
    <row r="246" spans="1:13" x14ac:dyDescent="0.25">
      <c r="A246" s="6" t="s">
        <v>286</v>
      </c>
      <c r="B246" s="7">
        <v>46078.199201388888</v>
      </c>
      <c r="C246" s="6" t="s">
        <v>13</v>
      </c>
      <c r="D246" s="6" t="s">
        <v>1063</v>
      </c>
      <c r="E246" s="6" t="s">
        <v>27</v>
      </c>
      <c r="F246" s="10">
        <v>7434139</v>
      </c>
      <c r="G246" s="6">
        <v>2</v>
      </c>
      <c r="H246" s="6" t="s">
        <v>16</v>
      </c>
      <c r="I246" s="6" t="s">
        <v>17</v>
      </c>
      <c r="J246" s="6" t="s">
        <v>23</v>
      </c>
      <c r="K246" s="6" t="s">
        <v>24</v>
      </c>
      <c r="L246" s="6"/>
      <c r="M246" s="6" t="str">
        <f t="shared" si="3"/>
        <v>50L-80L</v>
      </c>
    </row>
    <row r="247" spans="1:13" x14ac:dyDescent="0.25">
      <c r="A247" s="6" t="s">
        <v>287</v>
      </c>
      <c r="B247" s="7">
        <v>46078.425428240742</v>
      </c>
      <c r="C247" s="6" t="s">
        <v>33</v>
      </c>
      <c r="D247" s="6" t="s">
        <v>1062</v>
      </c>
      <c r="E247" s="6" t="s">
        <v>15</v>
      </c>
      <c r="F247" s="10">
        <v>4985834</v>
      </c>
      <c r="G247" s="6">
        <v>2</v>
      </c>
      <c r="H247" s="6" t="s">
        <v>16</v>
      </c>
      <c r="I247" s="6" t="s">
        <v>23</v>
      </c>
      <c r="J247" s="6" t="s">
        <v>23</v>
      </c>
      <c r="K247" s="6" t="s">
        <v>28</v>
      </c>
      <c r="L247" s="6"/>
      <c r="M247" s="6" t="str">
        <f t="shared" si="3"/>
        <v>30L-50L</v>
      </c>
    </row>
    <row r="248" spans="1:13" x14ac:dyDescent="0.25">
      <c r="A248" s="6" t="s">
        <v>288</v>
      </c>
      <c r="B248" s="7">
        <v>46078.651655092595</v>
      </c>
      <c r="C248" s="6" t="s">
        <v>20</v>
      </c>
      <c r="D248" s="6" t="s">
        <v>1059</v>
      </c>
      <c r="E248" s="6" t="s">
        <v>15</v>
      </c>
      <c r="F248" s="10">
        <v>3023386</v>
      </c>
      <c r="G248" s="6">
        <v>3</v>
      </c>
      <c r="H248" s="6" t="s">
        <v>16</v>
      </c>
      <c r="I248" s="6" t="s">
        <v>17</v>
      </c>
      <c r="J248" s="6" t="s">
        <v>17</v>
      </c>
      <c r="K248" s="6" t="s">
        <v>24</v>
      </c>
      <c r="L248" s="6"/>
      <c r="M248" s="6" t="str">
        <f t="shared" si="3"/>
        <v>30L-50L</v>
      </c>
    </row>
    <row r="249" spans="1:13" x14ac:dyDescent="0.25">
      <c r="A249" s="6" t="s">
        <v>289</v>
      </c>
      <c r="B249" s="7">
        <v>46078.877881944441</v>
      </c>
      <c r="C249" s="6" t="s">
        <v>33</v>
      </c>
      <c r="D249" s="6" t="s">
        <v>1059</v>
      </c>
      <c r="E249" s="6" t="s">
        <v>27</v>
      </c>
      <c r="F249" s="10">
        <v>2839022</v>
      </c>
      <c r="G249" s="6">
        <v>2</v>
      </c>
      <c r="H249" s="6" t="s">
        <v>16</v>
      </c>
      <c r="I249" s="6" t="s">
        <v>23</v>
      </c>
      <c r="J249" s="6" t="s">
        <v>17</v>
      </c>
      <c r="K249" s="6" t="s">
        <v>18</v>
      </c>
      <c r="L249" s="6">
        <v>2600000</v>
      </c>
      <c r="M249" s="6" t="str">
        <f t="shared" si="3"/>
        <v>Below 30L</v>
      </c>
    </row>
    <row r="250" spans="1:13" x14ac:dyDescent="0.25">
      <c r="A250" s="6" t="s">
        <v>290</v>
      </c>
      <c r="B250" s="7">
        <v>46079.104108796295</v>
      </c>
      <c r="C250" s="6" t="s">
        <v>33</v>
      </c>
      <c r="D250" s="6" t="s">
        <v>1061</v>
      </c>
      <c r="E250" s="6" t="s">
        <v>22</v>
      </c>
      <c r="F250" s="10">
        <v>6849776</v>
      </c>
      <c r="G250" s="6">
        <v>1</v>
      </c>
      <c r="H250" s="6" t="s">
        <v>16</v>
      </c>
      <c r="I250" s="6" t="s">
        <v>17</v>
      </c>
      <c r="J250" s="6" t="s">
        <v>17</v>
      </c>
      <c r="K250" s="6" t="s">
        <v>18</v>
      </c>
      <c r="L250" s="6">
        <v>6950000</v>
      </c>
      <c r="M250" s="6" t="str">
        <f t="shared" si="3"/>
        <v>50L-80L</v>
      </c>
    </row>
    <row r="251" spans="1:13" x14ac:dyDescent="0.25">
      <c r="A251" s="6" t="s">
        <v>291</v>
      </c>
      <c r="B251" s="7">
        <v>46079.330335648148</v>
      </c>
      <c r="C251" s="6" t="s">
        <v>36</v>
      </c>
      <c r="D251" s="6" t="s">
        <v>1062</v>
      </c>
      <c r="E251" s="6" t="s">
        <v>15</v>
      </c>
      <c r="F251" s="10">
        <v>6969451</v>
      </c>
      <c r="G251" s="6">
        <v>2</v>
      </c>
      <c r="H251" s="6" t="s">
        <v>37</v>
      </c>
      <c r="I251" s="6" t="s">
        <v>23</v>
      </c>
      <c r="J251" s="6" t="s">
        <v>23</v>
      </c>
      <c r="K251" s="6" t="s">
        <v>28</v>
      </c>
      <c r="L251" s="6"/>
      <c r="M251" s="6" t="str">
        <f t="shared" si="3"/>
        <v>50L-80L</v>
      </c>
    </row>
    <row r="252" spans="1:13" x14ac:dyDescent="0.25">
      <c r="A252" s="6" t="s">
        <v>292</v>
      </c>
      <c r="B252" s="7">
        <v>46079.556550925925</v>
      </c>
      <c r="C252" s="6" t="s">
        <v>26</v>
      </c>
      <c r="D252" s="6" t="s">
        <v>1063</v>
      </c>
      <c r="E252" s="6" t="s">
        <v>15</v>
      </c>
      <c r="F252" s="10">
        <v>3201202</v>
      </c>
      <c r="G252" s="6">
        <v>1</v>
      </c>
      <c r="H252" s="6" t="s">
        <v>37</v>
      </c>
      <c r="I252" s="6" t="s">
        <v>23</v>
      </c>
      <c r="J252" s="6" t="s">
        <v>23</v>
      </c>
      <c r="K252" s="6" t="s">
        <v>28</v>
      </c>
      <c r="L252" s="6"/>
      <c r="M252" s="6" t="str">
        <f t="shared" si="3"/>
        <v>30L-50L</v>
      </c>
    </row>
    <row r="253" spans="1:13" x14ac:dyDescent="0.25">
      <c r="A253" s="6" t="s">
        <v>293</v>
      </c>
      <c r="B253" s="7">
        <v>46079.782777777778</v>
      </c>
      <c r="C253" s="6" t="s">
        <v>26</v>
      </c>
      <c r="D253" s="6" t="s">
        <v>1060</v>
      </c>
      <c r="E253" s="6" t="s">
        <v>27</v>
      </c>
      <c r="F253" s="10">
        <v>1614589</v>
      </c>
      <c r="G253" s="6">
        <v>3</v>
      </c>
      <c r="H253" s="6" t="s">
        <v>16</v>
      </c>
      <c r="I253" s="6" t="s">
        <v>17</v>
      </c>
      <c r="J253" s="6" t="s">
        <v>17</v>
      </c>
      <c r="K253" s="6" t="s">
        <v>18</v>
      </c>
      <c r="L253" s="6">
        <v>1500000</v>
      </c>
      <c r="M253" s="6" t="str">
        <f t="shared" si="3"/>
        <v>Below 30L</v>
      </c>
    </row>
    <row r="254" spans="1:13" x14ac:dyDescent="0.25">
      <c r="A254" s="6" t="s">
        <v>294</v>
      </c>
      <c r="B254" s="7">
        <v>46080.009004629632</v>
      </c>
      <c r="C254" s="6" t="s">
        <v>36</v>
      </c>
      <c r="D254" s="6" t="s">
        <v>1059</v>
      </c>
      <c r="E254" s="6" t="s">
        <v>22</v>
      </c>
      <c r="F254" s="10">
        <v>6193839</v>
      </c>
      <c r="G254" s="6">
        <v>5</v>
      </c>
      <c r="H254" s="6" t="s">
        <v>16</v>
      </c>
      <c r="I254" s="6" t="s">
        <v>17</v>
      </c>
      <c r="J254" s="6" t="s">
        <v>17</v>
      </c>
      <c r="K254" s="6" t="s">
        <v>18</v>
      </c>
      <c r="L254" s="6">
        <v>5800000</v>
      </c>
      <c r="M254" s="6" t="str">
        <f t="shared" si="3"/>
        <v>50L-80L</v>
      </c>
    </row>
    <row r="255" spans="1:13" x14ac:dyDescent="0.25">
      <c r="A255" s="6" t="s">
        <v>295</v>
      </c>
      <c r="B255" s="7">
        <v>46080.235231481478</v>
      </c>
      <c r="C255" s="6" t="s">
        <v>26</v>
      </c>
      <c r="D255" s="6" t="s">
        <v>1059</v>
      </c>
      <c r="E255" s="6" t="s">
        <v>27</v>
      </c>
      <c r="F255" s="10">
        <v>2006453</v>
      </c>
      <c r="G255" s="6">
        <v>4</v>
      </c>
      <c r="H255" s="6" t="s">
        <v>16</v>
      </c>
      <c r="I255" s="6" t="s">
        <v>17</v>
      </c>
      <c r="J255" s="6" t="s">
        <v>17</v>
      </c>
      <c r="K255" s="6" t="s">
        <v>24</v>
      </c>
      <c r="L255" s="6"/>
      <c r="M255" s="6" t="str">
        <f t="shared" si="3"/>
        <v>Below 30L</v>
      </c>
    </row>
    <row r="256" spans="1:13" x14ac:dyDescent="0.25">
      <c r="A256" s="6" t="s">
        <v>296</v>
      </c>
      <c r="B256" s="7">
        <v>46080.461458333331</v>
      </c>
      <c r="C256" s="6" t="s">
        <v>13</v>
      </c>
      <c r="D256" s="6" t="s">
        <v>1062</v>
      </c>
      <c r="E256" s="6" t="s">
        <v>27</v>
      </c>
      <c r="F256" s="10">
        <v>2329901</v>
      </c>
      <c r="G256" s="6">
        <v>2</v>
      </c>
      <c r="H256" s="6" t="s">
        <v>16</v>
      </c>
      <c r="I256" s="6" t="s">
        <v>23</v>
      </c>
      <c r="J256" s="6" t="s">
        <v>23</v>
      </c>
      <c r="K256" s="6" t="s">
        <v>28</v>
      </c>
      <c r="L256" s="6"/>
      <c r="M256" s="6" t="str">
        <f t="shared" si="3"/>
        <v>Below 30L</v>
      </c>
    </row>
    <row r="257" spans="1:13" x14ac:dyDescent="0.25">
      <c r="A257" s="6" t="s">
        <v>297</v>
      </c>
      <c r="B257" s="7">
        <v>46080.687685185185</v>
      </c>
      <c r="C257" s="6" t="s">
        <v>20</v>
      </c>
      <c r="D257" s="6" t="s">
        <v>21</v>
      </c>
      <c r="E257" s="6" t="s">
        <v>22</v>
      </c>
      <c r="F257" s="10">
        <v>16640177</v>
      </c>
      <c r="G257" s="6">
        <v>1</v>
      </c>
      <c r="H257" s="6" t="s">
        <v>16</v>
      </c>
      <c r="I257" s="6" t="s">
        <v>23</v>
      </c>
      <c r="J257" s="6" t="s">
        <v>23</v>
      </c>
      <c r="K257" s="6" t="s">
        <v>28</v>
      </c>
      <c r="L257" s="6"/>
      <c r="M257" s="6" t="str">
        <f t="shared" si="3"/>
        <v>Above 1.2Cr</v>
      </c>
    </row>
    <row r="258" spans="1:13" x14ac:dyDescent="0.25">
      <c r="A258" s="6" t="s">
        <v>298</v>
      </c>
      <c r="B258" s="7">
        <v>46080.913912037038</v>
      </c>
      <c r="C258" s="6" t="s">
        <v>33</v>
      </c>
      <c r="D258" s="6" t="s">
        <v>1059</v>
      </c>
      <c r="E258" s="6" t="s">
        <v>15</v>
      </c>
      <c r="F258" s="10">
        <v>6062528</v>
      </c>
      <c r="G258" s="6">
        <v>1</v>
      </c>
      <c r="H258" s="6" t="s">
        <v>16</v>
      </c>
      <c r="I258" s="6" t="s">
        <v>17</v>
      </c>
      <c r="J258" s="6" t="s">
        <v>23</v>
      </c>
      <c r="K258" s="6" t="s">
        <v>24</v>
      </c>
      <c r="L258" s="6"/>
      <c r="M258" s="6" t="str">
        <f t="shared" ref="M258:M321" si="4">IF(F258&lt;3000000,"Below 30L",IF(F258&lt;5000000,"30L-50L",IF(F258&lt;8000000,"50L-80L",IF(F258&lt;12000000,"80L-1.2Cr","Above 1.2Cr"))))</f>
        <v>50L-80L</v>
      </c>
    </row>
    <row r="259" spans="1:13" x14ac:dyDescent="0.25">
      <c r="A259" s="6" t="s">
        <v>299</v>
      </c>
      <c r="B259" s="7">
        <v>46081.140138888892</v>
      </c>
      <c r="C259" s="6" t="s">
        <v>30</v>
      </c>
      <c r="D259" s="6" t="s">
        <v>1060</v>
      </c>
      <c r="E259" s="6" t="s">
        <v>15</v>
      </c>
      <c r="F259" s="10">
        <v>3439503</v>
      </c>
      <c r="G259" s="6">
        <v>3</v>
      </c>
      <c r="H259" s="6" t="s">
        <v>16</v>
      </c>
      <c r="I259" s="6" t="s">
        <v>17</v>
      </c>
      <c r="J259" s="6" t="s">
        <v>23</v>
      </c>
      <c r="K259" s="6" t="s">
        <v>24</v>
      </c>
      <c r="L259" s="6"/>
      <c r="M259" s="6" t="str">
        <f t="shared" si="4"/>
        <v>30L-50L</v>
      </c>
    </row>
    <row r="260" spans="1:13" x14ac:dyDescent="0.25">
      <c r="A260" s="6" t="s">
        <v>300</v>
      </c>
      <c r="B260" s="7">
        <v>46081.366365740738</v>
      </c>
      <c r="C260" s="6" t="s">
        <v>20</v>
      </c>
      <c r="D260" s="6" t="s">
        <v>1059</v>
      </c>
      <c r="E260" s="6" t="s">
        <v>15</v>
      </c>
      <c r="F260" s="10">
        <v>3096393</v>
      </c>
      <c r="G260" s="6">
        <v>1</v>
      </c>
      <c r="H260" s="6" t="s">
        <v>37</v>
      </c>
      <c r="I260" s="6" t="s">
        <v>23</v>
      </c>
      <c r="J260" s="6" t="s">
        <v>23</v>
      </c>
      <c r="K260" s="6" t="s">
        <v>28</v>
      </c>
      <c r="L260" s="6"/>
      <c r="M260" s="6" t="str">
        <f t="shared" si="4"/>
        <v>30L-50L</v>
      </c>
    </row>
    <row r="261" spans="1:13" x14ac:dyDescent="0.25">
      <c r="A261" s="6" t="s">
        <v>301</v>
      </c>
      <c r="B261" s="7">
        <v>46081.592592592591</v>
      </c>
      <c r="C261" s="6" t="s">
        <v>13</v>
      </c>
      <c r="D261" s="6" t="s">
        <v>1060</v>
      </c>
      <c r="E261" s="6" t="s">
        <v>15</v>
      </c>
      <c r="F261" s="10">
        <v>3595484</v>
      </c>
      <c r="G261" s="6">
        <v>3</v>
      </c>
      <c r="H261" s="6" t="s">
        <v>16</v>
      </c>
      <c r="I261" s="6" t="s">
        <v>23</v>
      </c>
      <c r="J261" s="6" t="s">
        <v>23</v>
      </c>
      <c r="K261" s="6" t="s">
        <v>28</v>
      </c>
      <c r="L261" s="6"/>
      <c r="M261" s="6" t="str">
        <f t="shared" si="4"/>
        <v>30L-50L</v>
      </c>
    </row>
    <row r="262" spans="1:13" x14ac:dyDescent="0.25">
      <c r="A262" s="6" t="s">
        <v>302</v>
      </c>
      <c r="B262" s="7">
        <v>46081.818819444445</v>
      </c>
      <c r="C262" s="6" t="s">
        <v>30</v>
      </c>
      <c r="D262" s="6" t="s">
        <v>1059</v>
      </c>
      <c r="E262" s="6" t="s">
        <v>22</v>
      </c>
      <c r="F262" s="10">
        <v>9978082</v>
      </c>
      <c r="G262" s="6">
        <v>1</v>
      </c>
      <c r="H262" s="6" t="s">
        <v>16</v>
      </c>
      <c r="I262" s="6" t="s">
        <v>17</v>
      </c>
      <c r="J262" s="6" t="s">
        <v>23</v>
      </c>
      <c r="K262" s="6" t="s">
        <v>24</v>
      </c>
      <c r="L262" s="6"/>
      <c r="M262" s="6" t="str">
        <f t="shared" si="4"/>
        <v>80L-1.2Cr</v>
      </c>
    </row>
    <row r="263" spans="1:13" x14ac:dyDescent="0.25">
      <c r="A263" s="6" t="s">
        <v>303</v>
      </c>
      <c r="B263" s="7">
        <v>46082.045046296298</v>
      </c>
      <c r="C263" s="6" t="s">
        <v>33</v>
      </c>
      <c r="D263" s="6" t="s">
        <v>1063</v>
      </c>
      <c r="E263" s="6" t="s">
        <v>22</v>
      </c>
      <c r="F263" s="10">
        <v>10899147</v>
      </c>
      <c r="G263" s="6">
        <v>4</v>
      </c>
      <c r="H263" s="6" t="s">
        <v>37</v>
      </c>
      <c r="I263" s="6" t="s">
        <v>23</v>
      </c>
      <c r="J263" s="6" t="s">
        <v>23</v>
      </c>
      <c r="K263" s="6" t="s">
        <v>28</v>
      </c>
      <c r="L263" s="6"/>
      <c r="M263" s="6" t="str">
        <f t="shared" si="4"/>
        <v>80L-1.2Cr</v>
      </c>
    </row>
    <row r="264" spans="1:13" x14ac:dyDescent="0.25">
      <c r="A264" s="6" t="s">
        <v>304</v>
      </c>
      <c r="B264" s="7">
        <v>46082.271273148152</v>
      </c>
      <c r="C264" s="6" t="s">
        <v>13</v>
      </c>
      <c r="D264" s="6" t="s">
        <v>21</v>
      </c>
      <c r="E264" s="6" t="s">
        <v>27</v>
      </c>
      <c r="F264" s="10">
        <v>3638000</v>
      </c>
      <c r="G264" s="6">
        <v>2</v>
      </c>
      <c r="H264" s="6" t="s">
        <v>16</v>
      </c>
      <c r="I264" s="6" t="s">
        <v>23</v>
      </c>
      <c r="J264" s="6" t="s">
        <v>17</v>
      </c>
      <c r="K264" s="6" t="s">
        <v>18</v>
      </c>
      <c r="L264" s="6">
        <v>3350000</v>
      </c>
      <c r="M264" s="6" t="str">
        <f t="shared" si="4"/>
        <v>30L-50L</v>
      </c>
    </row>
    <row r="265" spans="1:13" x14ac:dyDescent="0.25">
      <c r="A265" s="6" t="s">
        <v>305</v>
      </c>
      <c r="B265" s="7">
        <v>46082.497499999998</v>
      </c>
      <c r="C265" s="6" t="s">
        <v>20</v>
      </c>
      <c r="D265" s="6" t="s">
        <v>1060</v>
      </c>
      <c r="E265" s="6" t="s">
        <v>15</v>
      </c>
      <c r="F265" s="10">
        <v>6422968</v>
      </c>
      <c r="G265" s="6">
        <v>1</v>
      </c>
      <c r="H265" s="6" t="s">
        <v>37</v>
      </c>
      <c r="I265" s="6" t="s">
        <v>23</v>
      </c>
      <c r="J265" s="6" t="s">
        <v>23</v>
      </c>
      <c r="K265" s="6" t="s">
        <v>28</v>
      </c>
      <c r="L265" s="6"/>
      <c r="M265" s="6" t="str">
        <f t="shared" si="4"/>
        <v>50L-80L</v>
      </c>
    </row>
    <row r="266" spans="1:13" x14ac:dyDescent="0.25">
      <c r="A266" s="6" t="s">
        <v>306</v>
      </c>
      <c r="B266" s="7">
        <v>46082.723726851851</v>
      </c>
      <c r="C266" s="6" t="s">
        <v>36</v>
      </c>
      <c r="D266" s="6" t="s">
        <v>1059</v>
      </c>
      <c r="E266" s="6" t="s">
        <v>22</v>
      </c>
      <c r="F266" s="10">
        <v>7684449</v>
      </c>
      <c r="G266" s="6">
        <v>4</v>
      </c>
      <c r="H266" s="6" t="s">
        <v>16</v>
      </c>
      <c r="I266" s="6" t="s">
        <v>17</v>
      </c>
      <c r="J266" s="6" t="s">
        <v>17</v>
      </c>
      <c r="K266" s="6" t="s">
        <v>18</v>
      </c>
      <c r="L266" s="6">
        <v>7100000</v>
      </c>
      <c r="M266" s="6" t="str">
        <f t="shared" si="4"/>
        <v>50L-80L</v>
      </c>
    </row>
    <row r="267" spans="1:13" x14ac:dyDescent="0.25">
      <c r="A267" s="6" t="s">
        <v>307</v>
      </c>
      <c r="B267" s="7">
        <v>46082.949953703705</v>
      </c>
      <c r="C267" s="6" t="s">
        <v>36</v>
      </c>
      <c r="D267" s="6" t="s">
        <v>1059</v>
      </c>
      <c r="E267" s="6" t="s">
        <v>22</v>
      </c>
      <c r="F267" s="10">
        <v>7433284</v>
      </c>
      <c r="G267" s="6">
        <v>2</v>
      </c>
      <c r="H267" s="6" t="s">
        <v>16</v>
      </c>
      <c r="I267" s="6" t="s">
        <v>23</v>
      </c>
      <c r="J267" s="6" t="s">
        <v>23</v>
      </c>
      <c r="K267" s="6" t="s">
        <v>28</v>
      </c>
      <c r="L267" s="6"/>
      <c r="M267" s="6" t="str">
        <f t="shared" si="4"/>
        <v>50L-80L</v>
      </c>
    </row>
    <row r="268" spans="1:13" x14ac:dyDescent="0.25">
      <c r="A268" s="6" t="s">
        <v>308</v>
      </c>
      <c r="B268" s="7">
        <v>46083.176180555558</v>
      </c>
      <c r="C268" s="6" t="s">
        <v>30</v>
      </c>
      <c r="D268" s="6" t="s">
        <v>21</v>
      </c>
      <c r="E268" s="6" t="s">
        <v>22</v>
      </c>
      <c r="F268" s="10">
        <v>10798757</v>
      </c>
      <c r="G268" s="6">
        <v>1</v>
      </c>
      <c r="H268" s="6" t="s">
        <v>37</v>
      </c>
      <c r="I268" s="6" t="s">
        <v>17</v>
      </c>
      <c r="J268" s="6" t="s">
        <v>23</v>
      </c>
      <c r="K268" s="6" t="s">
        <v>24</v>
      </c>
      <c r="L268" s="6"/>
      <c r="M268" s="6" t="str">
        <f t="shared" si="4"/>
        <v>80L-1.2Cr</v>
      </c>
    </row>
    <row r="269" spans="1:13" x14ac:dyDescent="0.25">
      <c r="A269" s="6" t="s">
        <v>309</v>
      </c>
      <c r="B269" s="7">
        <v>46083.402407407404</v>
      </c>
      <c r="C269" s="6" t="s">
        <v>30</v>
      </c>
      <c r="D269" s="6" t="s">
        <v>1060</v>
      </c>
      <c r="E269" s="6" t="s">
        <v>22</v>
      </c>
      <c r="F269" s="10">
        <v>14788108</v>
      </c>
      <c r="G269" s="6">
        <v>3</v>
      </c>
      <c r="H269" s="6" t="s">
        <v>16</v>
      </c>
      <c r="I269" s="6" t="s">
        <v>17</v>
      </c>
      <c r="J269" s="6" t="s">
        <v>23</v>
      </c>
      <c r="K269" s="6" t="s">
        <v>24</v>
      </c>
      <c r="L269" s="6"/>
      <c r="M269" s="6" t="str">
        <f t="shared" si="4"/>
        <v>Above 1.2Cr</v>
      </c>
    </row>
    <row r="270" spans="1:13" x14ac:dyDescent="0.25">
      <c r="A270" s="6" t="s">
        <v>310</v>
      </c>
      <c r="B270" s="7">
        <v>46083.628634259258</v>
      </c>
      <c r="C270" s="6" t="s">
        <v>26</v>
      </c>
      <c r="D270" s="6" t="s">
        <v>1062</v>
      </c>
      <c r="E270" s="6" t="s">
        <v>15</v>
      </c>
      <c r="F270" s="10">
        <v>5382422</v>
      </c>
      <c r="G270" s="6">
        <v>3</v>
      </c>
      <c r="H270" s="6" t="s">
        <v>16</v>
      </c>
      <c r="I270" s="6" t="s">
        <v>17</v>
      </c>
      <c r="J270" s="6" t="s">
        <v>23</v>
      </c>
      <c r="K270" s="6" t="s">
        <v>24</v>
      </c>
      <c r="L270" s="6"/>
      <c r="M270" s="6" t="str">
        <f t="shared" si="4"/>
        <v>50L-80L</v>
      </c>
    </row>
    <row r="271" spans="1:13" x14ac:dyDescent="0.25">
      <c r="A271" s="6" t="s">
        <v>311</v>
      </c>
      <c r="B271" s="7">
        <v>46083.854849537034</v>
      </c>
      <c r="C271" s="6" t="s">
        <v>26</v>
      </c>
      <c r="D271" s="6" t="s">
        <v>21</v>
      </c>
      <c r="E271" s="6" t="s">
        <v>15</v>
      </c>
      <c r="F271" s="10">
        <v>5601268</v>
      </c>
      <c r="G271" s="6">
        <v>4</v>
      </c>
      <c r="H271" s="6" t="s">
        <v>16</v>
      </c>
      <c r="I271" s="6" t="s">
        <v>23</v>
      </c>
      <c r="J271" s="6" t="s">
        <v>17</v>
      </c>
      <c r="K271" s="6" t="s">
        <v>28</v>
      </c>
      <c r="L271" s="6"/>
      <c r="M271" s="6" t="str">
        <f t="shared" si="4"/>
        <v>50L-80L</v>
      </c>
    </row>
    <row r="272" spans="1:13" x14ac:dyDescent="0.25">
      <c r="A272" s="6" t="s">
        <v>312</v>
      </c>
      <c r="B272" s="7">
        <v>46084.081076388888</v>
      </c>
      <c r="C272" s="6" t="s">
        <v>36</v>
      </c>
      <c r="D272" s="6" t="s">
        <v>1062</v>
      </c>
      <c r="E272" s="6" t="s">
        <v>15</v>
      </c>
      <c r="F272" s="10">
        <v>6918830</v>
      </c>
      <c r="G272" s="6">
        <v>1</v>
      </c>
      <c r="H272" s="6" t="s">
        <v>16</v>
      </c>
      <c r="I272" s="6" t="s">
        <v>17</v>
      </c>
      <c r="J272" s="6" t="s">
        <v>17</v>
      </c>
      <c r="K272" s="6" t="s">
        <v>24</v>
      </c>
      <c r="L272" s="6"/>
      <c r="M272" s="6" t="str">
        <f t="shared" si="4"/>
        <v>50L-80L</v>
      </c>
    </row>
    <row r="273" spans="1:13" x14ac:dyDescent="0.25">
      <c r="A273" s="6" t="s">
        <v>313</v>
      </c>
      <c r="B273" s="7">
        <v>46084.307303240741</v>
      </c>
      <c r="C273" s="6" t="s">
        <v>36</v>
      </c>
      <c r="D273" s="6" t="s">
        <v>1061</v>
      </c>
      <c r="E273" s="6" t="s">
        <v>15</v>
      </c>
      <c r="F273" s="10">
        <v>3749450</v>
      </c>
      <c r="G273" s="6">
        <v>2</v>
      </c>
      <c r="H273" s="6" t="s">
        <v>16</v>
      </c>
      <c r="I273" s="6" t="s">
        <v>23</v>
      </c>
      <c r="J273" s="6" t="s">
        <v>23</v>
      </c>
      <c r="K273" s="6" t="s">
        <v>28</v>
      </c>
      <c r="L273" s="6"/>
      <c r="M273" s="6" t="str">
        <f t="shared" si="4"/>
        <v>30L-50L</v>
      </c>
    </row>
    <row r="274" spans="1:13" x14ac:dyDescent="0.25">
      <c r="A274" s="6" t="s">
        <v>314</v>
      </c>
      <c r="B274" s="7">
        <v>46084.533530092594</v>
      </c>
      <c r="C274" s="6" t="s">
        <v>36</v>
      </c>
      <c r="D274" s="6" t="s">
        <v>1063</v>
      </c>
      <c r="E274" s="6" t="s">
        <v>15</v>
      </c>
      <c r="F274" s="10">
        <v>5043899</v>
      </c>
      <c r="G274" s="6">
        <v>2</v>
      </c>
      <c r="H274" s="6" t="s">
        <v>37</v>
      </c>
      <c r="I274" s="6" t="s">
        <v>23</v>
      </c>
      <c r="J274" s="6" t="s">
        <v>23</v>
      </c>
      <c r="K274" s="6" t="s">
        <v>18</v>
      </c>
      <c r="L274" s="6">
        <v>4800000</v>
      </c>
      <c r="M274" s="6" t="str">
        <f t="shared" si="4"/>
        <v>50L-80L</v>
      </c>
    </row>
    <row r="275" spans="1:13" x14ac:dyDescent="0.25">
      <c r="A275" s="6" t="s">
        <v>315</v>
      </c>
      <c r="B275" s="7">
        <v>46084.759756944448</v>
      </c>
      <c r="C275" s="6" t="s">
        <v>33</v>
      </c>
      <c r="D275" s="6" t="s">
        <v>1059</v>
      </c>
      <c r="E275" s="6" t="s">
        <v>22</v>
      </c>
      <c r="F275" s="10">
        <v>8825330</v>
      </c>
      <c r="G275" s="6">
        <v>1</v>
      </c>
      <c r="H275" s="6" t="s">
        <v>37</v>
      </c>
      <c r="I275" s="6" t="s">
        <v>23</v>
      </c>
      <c r="J275" s="6" t="s">
        <v>17</v>
      </c>
      <c r="K275" s="6" t="s">
        <v>18</v>
      </c>
      <c r="L275" s="6">
        <v>8200000</v>
      </c>
      <c r="M275" s="6" t="str">
        <f t="shared" si="4"/>
        <v>80L-1.2Cr</v>
      </c>
    </row>
    <row r="276" spans="1:13" x14ac:dyDescent="0.25">
      <c r="A276" s="6" t="s">
        <v>316</v>
      </c>
      <c r="B276" s="7">
        <v>46084.985983796294</v>
      </c>
      <c r="C276" s="6" t="s">
        <v>20</v>
      </c>
      <c r="D276" s="6" t="s">
        <v>1060</v>
      </c>
      <c r="E276" s="6" t="s">
        <v>27</v>
      </c>
      <c r="F276" s="10">
        <v>2541482</v>
      </c>
      <c r="G276" s="6">
        <v>5</v>
      </c>
      <c r="H276" s="6" t="s">
        <v>37</v>
      </c>
      <c r="I276" s="6" t="s">
        <v>23</v>
      </c>
      <c r="J276" s="6" t="s">
        <v>23</v>
      </c>
      <c r="K276" s="6" t="s">
        <v>28</v>
      </c>
      <c r="L276" s="6"/>
      <c r="M276" s="6" t="str">
        <f t="shared" si="4"/>
        <v>Below 30L</v>
      </c>
    </row>
    <row r="277" spans="1:13" x14ac:dyDescent="0.25">
      <c r="A277" s="6" t="s">
        <v>317</v>
      </c>
      <c r="B277" s="7">
        <v>46085.212210648147</v>
      </c>
      <c r="C277" s="6" t="s">
        <v>1042</v>
      </c>
      <c r="D277" s="6" t="s">
        <v>1059</v>
      </c>
      <c r="E277" s="6" t="s">
        <v>22</v>
      </c>
      <c r="F277" s="10">
        <v>7543812</v>
      </c>
      <c r="G277" s="6">
        <v>4</v>
      </c>
      <c r="H277" s="6" t="s">
        <v>16</v>
      </c>
      <c r="I277" s="6" t="s">
        <v>17</v>
      </c>
      <c r="J277" s="6" t="s">
        <v>17</v>
      </c>
      <c r="K277" s="6" t="s">
        <v>24</v>
      </c>
      <c r="L277" s="6"/>
      <c r="M277" s="6" t="str">
        <f t="shared" si="4"/>
        <v>50L-80L</v>
      </c>
    </row>
    <row r="278" spans="1:13" x14ac:dyDescent="0.25">
      <c r="A278" s="6" t="s">
        <v>318</v>
      </c>
      <c r="B278" s="7">
        <v>46085.438437500001</v>
      </c>
      <c r="C278" s="6" t="s">
        <v>36</v>
      </c>
      <c r="D278" s="6" t="s">
        <v>1059</v>
      </c>
      <c r="E278" s="6" t="s">
        <v>22</v>
      </c>
      <c r="F278" s="10">
        <v>6865256</v>
      </c>
      <c r="G278" s="6">
        <v>2</v>
      </c>
      <c r="H278" s="6" t="s">
        <v>16</v>
      </c>
      <c r="I278" s="6" t="s">
        <v>17</v>
      </c>
      <c r="J278" s="6" t="s">
        <v>23</v>
      </c>
      <c r="K278" s="6" t="s">
        <v>24</v>
      </c>
      <c r="L278" s="6"/>
      <c r="M278" s="6" t="str">
        <f t="shared" si="4"/>
        <v>50L-80L</v>
      </c>
    </row>
    <row r="279" spans="1:13" x14ac:dyDescent="0.25">
      <c r="A279" s="6" t="s">
        <v>319</v>
      </c>
      <c r="B279" s="7">
        <v>46085.664664351854</v>
      </c>
      <c r="C279" s="6" t="s">
        <v>30</v>
      </c>
      <c r="D279" s="6" t="s">
        <v>1061</v>
      </c>
      <c r="E279" s="6" t="s">
        <v>15</v>
      </c>
      <c r="F279" s="10">
        <v>3000917</v>
      </c>
      <c r="G279" s="6">
        <v>3</v>
      </c>
      <c r="H279" s="6" t="s">
        <v>16</v>
      </c>
      <c r="I279" s="6" t="s">
        <v>23</v>
      </c>
      <c r="J279" s="6" t="s">
        <v>17</v>
      </c>
      <c r="K279" s="6" t="s">
        <v>18</v>
      </c>
      <c r="L279" s="6">
        <v>2900000</v>
      </c>
      <c r="M279" s="6" t="str">
        <f t="shared" si="4"/>
        <v>30L-50L</v>
      </c>
    </row>
    <row r="280" spans="1:13" x14ac:dyDescent="0.25">
      <c r="A280" s="6" t="s">
        <v>320</v>
      </c>
      <c r="B280" s="7">
        <v>46085.8908912037</v>
      </c>
      <c r="C280" s="6" t="s">
        <v>30</v>
      </c>
      <c r="D280" s="6" t="s">
        <v>1059</v>
      </c>
      <c r="E280" s="6" t="s">
        <v>22</v>
      </c>
      <c r="F280" s="10">
        <v>6851007</v>
      </c>
      <c r="G280" s="6">
        <v>1</v>
      </c>
      <c r="H280" s="6" t="s">
        <v>37</v>
      </c>
      <c r="I280" s="6" t="s">
        <v>23</v>
      </c>
      <c r="J280" s="6" t="s">
        <v>23</v>
      </c>
      <c r="K280" s="6" t="s">
        <v>28</v>
      </c>
      <c r="L280" s="6"/>
      <c r="M280" s="6" t="str">
        <f t="shared" si="4"/>
        <v>50L-80L</v>
      </c>
    </row>
    <row r="281" spans="1:13" x14ac:dyDescent="0.25">
      <c r="A281" s="6" t="s">
        <v>321</v>
      </c>
      <c r="B281" s="7">
        <v>46086.117118055554</v>
      </c>
      <c r="C281" s="6" t="s">
        <v>36</v>
      </c>
      <c r="D281" s="6" t="s">
        <v>1060</v>
      </c>
      <c r="E281" s="6" t="s">
        <v>15</v>
      </c>
      <c r="F281" s="10">
        <v>5587681</v>
      </c>
      <c r="G281" s="6">
        <v>5</v>
      </c>
      <c r="H281" s="6" t="s">
        <v>16</v>
      </c>
      <c r="I281" s="6" t="s">
        <v>17</v>
      </c>
      <c r="J281" s="6" t="s">
        <v>23</v>
      </c>
      <c r="K281" s="6" t="s">
        <v>24</v>
      </c>
      <c r="L281" s="6"/>
      <c r="M281" s="6" t="str">
        <f t="shared" si="4"/>
        <v>50L-80L</v>
      </c>
    </row>
    <row r="282" spans="1:13" x14ac:dyDescent="0.25">
      <c r="A282" s="6" t="s">
        <v>322</v>
      </c>
      <c r="B282" s="7">
        <v>46086.343344907407</v>
      </c>
      <c r="C282" s="6" t="s">
        <v>36</v>
      </c>
      <c r="D282" s="6" t="s">
        <v>1062</v>
      </c>
      <c r="E282" s="6" t="s">
        <v>15</v>
      </c>
      <c r="F282" s="10">
        <v>3262091</v>
      </c>
      <c r="G282" s="6">
        <v>1</v>
      </c>
      <c r="H282" s="6" t="s">
        <v>37</v>
      </c>
      <c r="I282" s="6" t="s">
        <v>23</v>
      </c>
      <c r="J282" s="6" t="s">
        <v>23</v>
      </c>
      <c r="K282" s="6" t="s">
        <v>28</v>
      </c>
      <c r="L282" s="6"/>
      <c r="M282" s="6" t="str">
        <f t="shared" si="4"/>
        <v>30L-50L</v>
      </c>
    </row>
    <row r="283" spans="1:13" x14ac:dyDescent="0.25">
      <c r="A283" s="6" t="s">
        <v>323</v>
      </c>
      <c r="B283" s="7">
        <v>46086.569571759261</v>
      </c>
      <c r="C283" s="6" t="s">
        <v>26</v>
      </c>
      <c r="D283" s="6" t="s">
        <v>1062</v>
      </c>
      <c r="E283" s="6" t="s">
        <v>15</v>
      </c>
      <c r="F283" s="10">
        <v>3585457</v>
      </c>
      <c r="G283" s="6">
        <v>1</v>
      </c>
      <c r="H283" s="6" t="s">
        <v>37</v>
      </c>
      <c r="I283" s="6" t="s">
        <v>17</v>
      </c>
      <c r="J283" s="6" t="s">
        <v>23</v>
      </c>
      <c r="K283" s="6" t="s">
        <v>24</v>
      </c>
      <c r="L283" s="6"/>
      <c r="M283" s="6" t="str">
        <f t="shared" si="4"/>
        <v>30L-50L</v>
      </c>
    </row>
    <row r="284" spans="1:13" x14ac:dyDescent="0.25">
      <c r="A284" s="6" t="s">
        <v>324</v>
      </c>
      <c r="B284" s="7">
        <v>46086.795798611114</v>
      </c>
      <c r="C284" s="6" t="s">
        <v>26</v>
      </c>
      <c r="D284" s="6" t="s">
        <v>1060</v>
      </c>
      <c r="E284" s="6" t="s">
        <v>15</v>
      </c>
      <c r="F284" s="10">
        <v>6445693</v>
      </c>
      <c r="G284" s="6">
        <v>3</v>
      </c>
      <c r="H284" s="6" t="s">
        <v>16</v>
      </c>
      <c r="I284" s="6" t="s">
        <v>23</v>
      </c>
      <c r="J284" s="6" t="s">
        <v>23</v>
      </c>
      <c r="K284" s="6" t="s">
        <v>28</v>
      </c>
      <c r="L284" s="6"/>
      <c r="M284" s="6" t="str">
        <f t="shared" si="4"/>
        <v>50L-80L</v>
      </c>
    </row>
    <row r="285" spans="1:13" x14ac:dyDescent="0.25">
      <c r="A285" s="6" t="s">
        <v>325</v>
      </c>
      <c r="B285" s="7">
        <v>46087.02202546296</v>
      </c>
      <c r="C285" s="6" t="s">
        <v>13</v>
      </c>
      <c r="D285" s="6" t="s">
        <v>1059</v>
      </c>
      <c r="E285" s="6" t="s">
        <v>15</v>
      </c>
      <c r="F285" s="10">
        <v>6749266</v>
      </c>
      <c r="G285" s="6">
        <v>3</v>
      </c>
      <c r="H285" s="6" t="s">
        <v>16</v>
      </c>
      <c r="I285" s="6" t="s">
        <v>17</v>
      </c>
      <c r="J285" s="6" t="s">
        <v>23</v>
      </c>
      <c r="K285" s="6" t="s">
        <v>18</v>
      </c>
      <c r="L285" s="6">
        <v>6950000</v>
      </c>
      <c r="M285" s="6" t="str">
        <f t="shared" si="4"/>
        <v>50L-80L</v>
      </c>
    </row>
    <row r="286" spans="1:13" x14ac:dyDescent="0.25">
      <c r="A286" s="6" t="s">
        <v>326</v>
      </c>
      <c r="B286" s="7">
        <v>46087.248252314814</v>
      </c>
      <c r="C286" s="6" t="s">
        <v>20</v>
      </c>
      <c r="D286" s="6" t="s">
        <v>21</v>
      </c>
      <c r="E286" s="6" t="s">
        <v>15</v>
      </c>
      <c r="F286" s="10">
        <v>4262703</v>
      </c>
      <c r="G286" s="6">
        <v>3</v>
      </c>
      <c r="H286" s="6" t="s">
        <v>37</v>
      </c>
      <c r="I286" s="6" t="s">
        <v>17</v>
      </c>
      <c r="J286" s="6" t="s">
        <v>23</v>
      </c>
      <c r="K286" s="6" t="s">
        <v>24</v>
      </c>
      <c r="L286" s="6"/>
      <c r="M286" s="6" t="str">
        <f t="shared" si="4"/>
        <v>30L-50L</v>
      </c>
    </row>
    <row r="287" spans="1:13" x14ac:dyDescent="0.25">
      <c r="A287" s="6" t="s">
        <v>327</v>
      </c>
      <c r="B287" s="7">
        <v>46087.474479166667</v>
      </c>
      <c r="C287" s="6" t="s">
        <v>13</v>
      </c>
      <c r="D287" s="6" t="s">
        <v>1060</v>
      </c>
      <c r="E287" s="6" t="s">
        <v>15</v>
      </c>
      <c r="F287" s="10">
        <v>3203834</v>
      </c>
      <c r="G287" s="6">
        <v>1</v>
      </c>
      <c r="H287" s="6" t="s">
        <v>37</v>
      </c>
      <c r="I287" s="6" t="s">
        <v>17</v>
      </c>
      <c r="J287" s="6" t="s">
        <v>23</v>
      </c>
      <c r="K287" s="6" t="s">
        <v>24</v>
      </c>
      <c r="L287" s="6"/>
      <c r="M287" s="6" t="str">
        <f t="shared" si="4"/>
        <v>30L-50L</v>
      </c>
    </row>
    <row r="288" spans="1:13" x14ac:dyDescent="0.25">
      <c r="A288" s="6" t="s">
        <v>328</v>
      </c>
      <c r="B288" s="7">
        <v>46087.700706018521</v>
      </c>
      <c r="C288" s="6" t="s">
        <v>20</v>
      </c>
      <c r="D288" s="6" t="s">
        <v>1059</v>
      </c>
      <c r="E288" s="6" t="s">
        <v>27</v>
      </c>
      <c r="F288" s="10">
        <v>4135372</v>
      </c>
      <c r="G288" s="6">
        <v>2</v>
      </c>
      <c r="H288" s="6" t="s">
        <v>16</v>
      </c>
      <c r="I288" s="6" t="s">
        <v>17</v>
      </c>
      <c r="J288" s="6" t="s">
        <v>23</v>
      </c>
      <c r="K288" s="6" t="s">
        <v>24</v>
      </c>
      <c r="L288" s="6"/>
      <c r="M288" s="6" t="str">
        <f t="shared" si="4"/>
        <v>30L-50L</v>
      </c>
    </row>
    <row r="289" spans="1:13" x14ac:dyDescent="0.25">
      <c r="A289" s="6" t="s">
        <v>329</v>
      </c>
      <c r="B289" s="7">
        <v>46087.926921296297</v>
      </c>
      <c r="C289" s="6" t="s">
        <v>20</v>
      </c>
      <c r="D289" s="6" t="s">
        <v>21</v>
      </c>
      <c r="E289" s="6" t="s">
        <v>15</v>
      </c>
      <c r="F289" s="10">
        <v>5159988</v>
      </c>
      <c r="G289" s="6">
        <v>2</v>
      </c>
      <c r="H289" s="6" t="s">
        <v>16</v>
      </c>
      <c r="I289" s="6" t="s">
        <v>17</v>
      </c>
      <c r="J289" s="6" t="s">
        <v>17</v>
      </c>
      <c r="K289" s="6" t="s">
        <v>24</v>
      </c>
      <c r="L289" s="6"/>
      <c r="M289" s="6" t="str">
        <f t="shared" si="4"/>
        <v>50L-80L</v>
      </c>
    </row>
    <row r="290" spans="1:13" x14ac:dyDescent="0.25">
      <c r="A290" s="6" t="s">
        <v>330</v>
      </c>
      <c r="B290" s="7">
        <v>46088.153148148151</v>
      </c>
      <c r="C290" s="6" t="s">
        <v>26</v>
      </c>
      <c r="D290" s="6" t="s">
        <v>1059</v>
      </c>
      <c r="E290" s="6" t="s">
        <v>15</v>
      </c>
      <c r="F290" s="10">
        <v>8047420</v>
      </c>
      <c r="G290" s="6">
        <v>1</v>
      </c>
      <c r="H290" s="6" t="s">
        <v>37</v>
      </c>
      <c r="I290" s="6" t="s">
        <v>17</v>
      </c>
      <c r="J290" s="6" t="s">
        <v>23</v>
      </c>
      <c r="K290" s="6" t="s">
        <v>24</v>
      </c>
      <c r="L290" s="6"/>
      <c r="M290" s="6" t="str">
        <f t="shared" si="4"/>
        <v>80L-1.2Cr</v>
      </c>
    </row>
    <row r="291" spans="1:13" x14ac:dyDescent="0.25">
      <c r="A291" s="6" t="s">
        <v>331</v>
      </c>
      <c r="B291" s="7">
        <v>46088.379374999997</v>
      </c>
      <c r="C291" s="6" t="s">
        <v>30</v>
      </c>
      <c r="D291" s="6" t="s">
        <v>1059</v>
      </c>
      <c r="E291" s="6" t="s">
        <v>15</v>
      </c>
      <c r="F291" s="10">
        <v>4636286</v>
      </c>
      <c r="G291" s="6">
        <v>5</v>
      </c>
      <c r="H291" s="6" t="s">
        <v>16</v>
      </c>
      <c r="I291" s="6" t="s">
        <v>17</v>
      </c>
      <c r="J291" s="6" t="s">
        <v>23</v>
      </c>
      <c r="K291" s="6" t="s">
        <v>24</v>
      </c>
      <c r="L291" s="6"/>
      <c r="M291" s="6" t="str">
        <f t="shared" si="4"/>
        <v>30L-50L</v>
      </c>
    </row>
    <row r="292" spans="1:13" x14ac:dyDescent="0.25">
      <c r="A292" s="6" t="s">
        <v>332</v>
      </c>
      <c r="B292" s="7">
        <v>46088.60560185185</v>
      </c>
      <c r="C292" s="6" t="s">
        <v>13</v>
      </c>
      <c r="D292" s="6" t="s">
        <v>21</v>
      </c>
      <c r="E292" s="6" t="s">
        <v>22</v>
      </c>
      <c r="F292" s="10">
        <v>14213698</v>
      </c>
      <c r="G292" s="6">
        <v>1</v>
      </c>
      <c r="H292" s="6" t="s">
        <v>16</v>
      </c>
      <c r="I292" s="6" t="s">
        <v>23</v>
      </c>
      <c r="J292" s="6" t="s">
        <v>23</v>
      </c>
      <c r="K292" s="6" t="s">
        <v>28</v>
      </c>
      <c r="L292" s="6"/>
      <c r="M292" s="6" t="str">
        <f t="shared" si="4"/>
        <v>Above 1.2Cr</v>
      </c>
    </row>
    <row r="293" spans="1:13" x14ac:dyDescent="0.25">
      <c r="A293" s="6" t="s">
        <v>333</v>
      </c>
      <c r="B293" s="7">
        <v>46088.831828703704</v>
      </c>
      <c r="C293" s="6" t="s">
        <v>13</v>
      </c>
      <c r="D293" s="6" t="s">
        <v>1059</v>
      </c>
      <c r="E293" s="6" t="s">
        <v>15</v>
      </c>
      <c r="F293" s="10">
        <v>5174534</v>
      </c>
      <c r="G293" s="6">
        <v>2</v>
      </c>
      <c r="H293" s="6" t="s">
        <v>16</v>
      </c>
      <c r="I293" s="6" t="s">
        <v>23</v>
      </c>
      <c r="J293" s="6" t="s">
        <v>17</v>
      </c>
      <c r="K293" s="6" t="s">
        <v>18</v>
      </c>
      <c r="L293" s="6">
        <v>5000000</v>
      </c>
      <c r="M293" s="6" t="str">
        <f t="shared" si="4"/>
        <v>50L-80L</v>
      </c>
    </row>
    <row r="294" spans="1:13" x14ac:dyDescent="0.25">
      <c r="A294" s="6" t="s">
        <v>334</v>
      </c>
      <c r="B294" s="7">
        <v>46089.058055555557</v>
      </c>
      <c r="C294" s="6" t="s">
        <v>36</v>
      </c>
      <c r="D294" s="6" t="s">
        <v>1060</v>
      </c>
      <c r="E294" s="6" t="s">
        <v>15</v>
      </c>
      <c r="F294" s="10">
        <v>6358998</v>
      </c>
      <c r="G294" s="6">
        <v>3</v>
      </c>
      <c r="H294" s="6" t="s">
        <v>16</v>
      </c>
      <c r="I294" s="6" t="s">
        <v>17</v>
      </c>
      <c r="J294" s="6" t="s">
        <v>17</v>
      </c>
      <c r="K294" s="6" t="s">
        <v>24</v>
      </c>
      <c r="L294" s="6"/>
      <c r="M294" s="6" t="str">
        <f t="shared" si="4"/>
        <v>50L-80L</v>
      </c>
    </row>
    <row r="295" spans="1:13" x14ac:dyDescent="0.25">
      <c r="A295" s="6" t="s">
        <v>335</v>
      </c>
      <c r="B295" s="7">
        <v>46089.284282407411</v>
      </c>
      <c r="C295" s="6" t="s">
        <v>26</v>
      </c>
      <c r="D295" s="6" t="s">
        <v>1062</v>
      </c>
      <c r="E295" s="6" t="s">
        <v>15</v>
      </c>
      <c r="F295" s="10">
        <v>4786664</v>
      </c>
      <c r="G295" s="6">
        <v>2</v>
      </c>
      <c r="H295" s="6" t="s">
        <v>16</v>
      </c>
      <c r="I295" s="6" t="s">
        <v>17</v>
      </c>
      <c r="J295" s="6" t="s">
        <v>23</v>
      </c>
      <c r="K295" s="6" t="s">
        <v>24</v>
      </c>
      <c r="L295" s="6"/>
      <c r="M295" s="6" t="str">
        <f t="shared" si="4"/>
        <v>30L-50L</v>
      </c>
    </row>
    <row r="296" spans="1:13" x14ac:dyDescent="0.25">
      <c r="A296" s="6" t="s">
        <v>336</v>
      </c>
      <c r="B296" s="7">
        <v>46089.510509259257</v>
      </c>
      <c r="C296" s="6" t="s">
        <v>13</v>
      </c>
      <c r="D296" s="6" t="s">
        <v>1063</v>
      </c>
      <c r="E296" s="6" t="s">
        <v>15</v>
      </c>
      <c r="F296" s="10">
        <v>4429290</v>
      </c>
      <c r="G296" s="6">
        <v>3</v>
      </c>
      <c r="H296" s="6" t="s">
        <v>16</v>
      </c>
      <c r="I296" s="6" t="s">
        <v>17</v>
      </c>
      <c r="J296" s="6" t="s">
        <v>17</v>
      </c>
      <c r="K296" s="6" t="s">
        <v>24</v>
      </c>
      <c r="L296" s="6"/>
      <c r="M296" s="6" t="str">
        <f t="shared" si="4"/>
        <v>30L-50L</v>
      </c>
    </row>
    <row r="297" spans="1:13" x14ac:dyDescent="0.25">
      <c r="A297" s="6" t="s">
        <v>337</v>
      </c>
      <c r="B297" s="7">
        <v>46089.73673611111</v>
      </c>
      <c r="C297" s="6" t="s">
        <v>20</v>
      </c>
      <c r="D297" s="6" t="s">
        <v>1059</v>
      </c>
      <c r="E297" s="6" t="s">
        <v>15</v>
      </c>
      <c r="F297" s="10">
        <v>3023559</v>
      </c>
      <c r="G297" s="6">
        <v>4</v>
      </c>
      <c r="H297" s="6" t="s">
        <v>16</v>
      </c>
      <c r="I297" s="6" t="s">
        <v>17</v>
      </c>
      <c r="J297" s="6" t="s">
        <v>17</v>
      </c>
      <c r="K297" s="6" t="s">
        <v>24</v>
      </c>
      <c r="L297" s="6"/>
      <c r="M297" s="6" t="str">
        <f t="shared" si="4"/>
        <v>30L-50L</v>
      </c>
    </row>
    <row r="298" spans="1:13" x14ac:dyDescent="0.25">
      <c r="A298" s="6" t="s">
        <v>338</v>
      </c>
      <c r="B298" s="7">
        <v>46089.962962962964</v>
      </c>
      <c r="C298" s="6" t="s">
        <v>36</v>
      </c>
      <c r="D298" s="6" t="s">
        <v>1059</v>
      </c>
      <c r="E298" s="6" t="s">
        <v>15</v>
      </c>
      <c r="F298" s="10">
        <v>4399769</v>
      </c>
      <c r="G298" s="6">
        <v>1</v>
      </c>
      <c r="H298" s="6" t="s">
        <v>16</v>
      </c>
      <c r="I298" s="6" t="s">
        <v>17</v>
      </c>
      <c r="J298" s="6" t="s">
        <v>17</v>
      </c>
      <c r="K298" s="6" t="s">
        <v>18</v>
      </c>
      <c r="L298" s="6">
        <v>4450000</v>
      </c>
      <c r="M298" s="6" t="str">
        <f t="shared" si="4"/>
        <v>30L-50L</v>
      </c>
    </row>
    <row r="299" spans="1:13" x14ac:dyDescent="0.25">
      <c r="A299" s="6" t="s">
        <v>339</v>
      </c>
      <c r="B299" s="7">
        <v>46090.189189814817</v>
      </c>
      <c r="C299" s="6" t="s">
        <v>26</v>
      </c>
      <c r="D299" s="6" t="s">
        <v>1059</v>
      </c>
      <c r="E299" s="6" t="s">
        <v>15</v>
      </c>
      <c r="F299" s="10">
        <v>3444755</v>
      </c>
      <c r="G299" s="6">
        <v>5</v>
      </c>
      <c r="H299" s="6" t="s">
        <v>37</v>
      </c>
      <c r="I299" s="6" t="s">
        <v>17</v>
      </c>
      <c r="J299" s="6" t="s">
        <v>23</v>
      </c>
      <c r="K299" s="6" t="s">
        <v>24</v>
      </c>
      <c r="L299" s="6"/>
      <c r="M299" s="6" t="str">
        <f t="shared" si="4"/>
        <v>30L-50L</v>
      </c>
    </row>
    <row r="300" spans="1:13" x14ac:dyDescent="0.25">
      <c r="A300" s="6" t="s">
        <v>340</v>
      </c>
      <c r="B300" s="7">
        <v>46090.415416666663</v>
      </c>
      <c r="C300" s="6" t="s">
        <v>30</v>
      </c>
      <c r="D300" s="6" t="s">
        <v>1062</v>
      </c>
      <c r="E300" s="6" t="s">
        <v>15</v>
      </c>
      <c r="F300" s="10">
        <v>6939440</v>
      </c>
      <c r="G300" s="6">
        <v>3</v>
      </c>
      <c r="H300" s="6" t="s">
        <v>37</v>
      </c>
      <c r="I300" s="6" t="s">
        <v>23</v>
      </c>
      <c r="J300" s="6" t="s">
        <v>23</v>
      </c>
      <c r="K300" s="6" t="s">
        <v>28</v>
      </c>
      <c r="L300" s="6"/>
      <c r="M300" s="6" t="str">
        <f t="shared" si="4"/>
        <v>50L-80L</v>
      </c>
    </row>
    <row r="301" spans="1:13" x14ac:dyDescent="0.25">
      <c r="A301" s="6" t="s">
        <v>341</v>
      </c>
      <c r="B301" s="7">
        <v>46090.641643518517</v>
      </c>
      <c r="C301" s="6" t="s">
        <v>13</v>
      </c>
      <c r="D301" s="6" t="s">
        <v>1062</v>
      </c>
      <c r="E301" s="6" t="s">
        <v>15</v>
      </c>
      <c r="F301" s="10">
        <v>4915467</v>
      </c>
      <c r="G301" s="6">
        <v>2</v>
      </c>
      <c r="H301" s="6" t="s">
        <v>37</v>
      </c>
      <c r="I301" s="6" t="s">
        <v>23</v>
      </c>
      <c r="J301" s="6" t="s">
        <v>23</v>
      </c>
      <c r="K301" s="6" t="s">
        <v>28</v>
      </c>
      <c r="L301" s="6"/>
      <c r="M301" s="6" t="str">
        <f t="shared" si="4"/>
        <v>30L-50L</v>
      </c>
    </row>
    <row r="302" spans="1:13" x14ac:dyDescent="0.25">
      <c r="A302" s="6" t="s">
        <v>342</v>
      </c>
      <c r="B302" s="7">
        <v>46090.86787037037</v>
      </c>
      <c r="C302" s="6" t="s">
        <v>13</v>
      </c>
      <c r="D302" s="6" t="s">
        <v>1059</v>
      </c>
      <c r="E302" s="6" t="s">
        <v>27</v>
      </c>
      <c r="F302" s="10">
        <v>2375564</v>
      </c>
      <c r="G302" s="6">
        <v>2</v>
      </c>
      <c r="H302" s="6" t="s">
        <v>16</v>
      </c>
      <c r="I302" s="6" t="s">
        <v>23</v>
      </c>
      <c r="J302" s="6" t="s">
        <v>23</v>
      </c>
      <c r="K302" s="6" t="s">
        <v>28</v>
      </c>
      <c r="L302" s="6"/>
      <c r="M302" s="6" t="str">
        <f t="shared" si="4"/>
        <v>Below 30L</v>
      </c>
    </row>
    <row r="303" spans="1:13" x14ac:dyDescent="0.25">
      <c r="A303" s="6" t="s">
        <v>343</v>
      </c>
      <c r="B303" s="7">
        <v>46091.094097222223</v>
      </c>
      <c r="C303" s="6" t="s">
        <v>20</v>
      </c>
      <c r="D303" s="6" t="s">
        <v>1061</v>
      </c>
      <c r="E303" s="6" t="s">
        <v>22</v>
      </c>
      <c r="F303" s="10">
        <v>17759920</v>
      </c>
      <c r="G303" s="6">
        <v>2</v>
      </c>
      <c r="H303" s="6" t="s">
        <v>16</v>
      </c>
      <c r="I303" s="6" t="s">
        <v>17</v>
      </c>
      <c r="J303" s="6" t="s">
        <v>23</v>
      </c>
      <c r="K303" s="6" t="s">
        <v>24</v>
      </c>
      <c r="L303" s="6"/>
      <c r="M303" s="6" t="str">
        <f t="shared" si="4"/>
        <v>Above 1.2Cr</v>
      </c>
    </row>
    <row r="304" spans="1:13" x14ac:dyDescent="0.25">
      <c r="A304" s="6" t="s">
        <v>344</v>
      </c>
      <c r="B304" s="7">
        <v>46091.320324074077</v>
      </c>
      <c r="C304" s="6" t="s">
        <v>20</v>
      </c>
      <c r="D304" s="6" t="s">
        <v>1059</v>
      </c>
      <c r="E304" s="6" t="s">
        <v>15</v>
      </c>
      <c r="F304" s="10">
        <v>4154262</v>
      </c>
      <c r="G304" s="6">
        <v>4</v>
      </c>
      <c r="H304" s="6" t="s">
        <v>16</v>
      </c>
      <c r="I304" s="6" t="s">
        <v>17</v>
      </c>
      <c r="J304" s="6" t="s">
        <v>23</v>
      </c>
      <c r="K304" s="6" t="s">
        <v>24</v>
      </c>
      <c r="L304" s="6"/>
      <c r="M304" s="6" t="str">
        <f t="shared" si="4"/>
        <v>30L-50L</v>
      </c>
    </row>
    <row r="305" spans="1:13" x14ac:dyDescent="0.25">
      <c r="A305" s="6" t="s">
        <v>345</v>
      </c>
      <c r="B305" s="7">
        <v>46091.546550925923</v>
      </c>
      <c r="C305" s="6" t="s">
        <v>30</v>
      </c>
      <c r="D305" s="6" t="s">
        <v>1060</v>
      </c>
      <c r="E305" s="6" t="s">
        <v>15</v>
      </c>
      <c r="F305" s="10">
        <v>3947272</v>
      </c>
      <c r="G305" s="6">
        <v>4</v>
      </c>
      <c r="H305" s="6" t="s">
        <v>37</v>
      </c>
      <c r="I305" s="6" t="s">
        <v>23</v>
      </c>
      <c r="J305" s="6" t="s">
        <v>23</v>
      </c>
      <c r="K305" s="6" t="s">
        <v>28</v>
      </c>
      <c r="L305" s="6"/>
      <c r="M305" s="6" t="str">
        <f t="shared" si="4"/>
        <v>30L-50L</v>
      </c>
    </row>
    <row r="306" spans="1:13" x14ac:dyDescent="0.25">
      <c r="A306" s="6" t="s">
        <v>346</v>
      </c>
      <c r="B306" s="7">
        <v>46091.772777777776</v>
      </c>
      <c r="C306" s="6" t="s">
        <v>30</v>
      </c>
      <c r="D306" s="6" t="s">
        <v>1062</v>
      </c>
      <c r="E306" s="6" t="s">
        <v>27</v>
      </c>
      <c r="F306" s="10">
        <v>6746725</v>
      </c>
      <c r="G306" s="6">
        <v>4</v>
      </c>
      <c r="H306" s="6" t="s">
        <v>16</v>
      </c>
      <c r="I306" s="6" t="s">
        <v>17</v>
      </c>
      <c r="J306" s="6" t="s">
        <v>17</v>
      </c>
      <c r="K306" s="6" t="s">
        <v>24</v>
      </c>
      <c r="L306" s="6"/>
      <c r="M306" s="6" t="str">
        <f t="shared" si="4"/>
        <v>50L-80L</v>
      </c>
    </row>
    <row r="307" spans="1:13" x14ac:dyDescent="0.25">
      <c r="A307" s="6" t="s">
        <v>347</v>
      </c>
      <c r="B307" s="7">
        <v>46091.99900462963</v>
      </c>
      <c r="C307" s="6" t="s">
        <v>33</v>
      </c>
      <c r="D307" s="6" t="s">
        <v>1061</v>
      </c>
      <c r="E307" s="6" t="s">
        <v>15</v>
      </c>
      <c r="F307" s="10">
        <v>8906127</v>
      </c>
      <c r="G307" s="6">
        <v>6</v>
      </c>
      <c r="H307" s="6" t="s">
        <v>16</v>
      </c>
      <c r="I307" s="6" t="s">
        <v>17</v>
      </c>
      <c r="J307" s="6" t="s">
        <v>23</v>
      </c>
      <c r="K307" s="6" t="s">
        <v>18</v>
      </c>
      <c r="L307" s="6">
        <v>8300000</v>
      </c>
      <c r="M307" s="6" t="str">
        <f t="shared" si="4"/>
        <v>80L-1.2Cr</v>
      </c>
    </row>
    <row r="308" spans="1:13" x14ac:dyDescent="0.25">
      <c r="A308" s="6" t="s">
        <v>348</v>
      </c>
      <c r="B308" s="7">
        <v>46092.225219907406</v>
      </c>
      <c r="C308" s="6" t="s">
        <v>20</v>
      </c>
      <c r="D308" s="6" t="s">
        <v>1062</v>
      </c>
      <c r="E308" s="6" t="s">
        <v>15</v>
      </c>
      <c r="F308" s="10">
        <v>5956953</v>
      </c>
      <c r="G308" s="6">
        <v>4</v>
      </c>
      <c r="H308" s="6" t="s">
        <v>16</v>
      </c>
      <c r="I308" s="6" t="s">
        <v>17</v>
      </c>
      <c r="J308" s="6" t="s">
        <v>17</v>
      </c>
      <c r="K308" s="6" t="s">
        <v>18</v>
      </c>
      <c r="L308" s="6">
        <v>6000000</v>
      </c>
      <c r="M308" s="6" t="str">
        <f t="shared" si="4"/>
        <v>50L-80L</v>
      </c>
    </row>
    <row r="309" spans="1:13" x14ac:dyDescent="0.25">
      <c r="A309" s="6" t="s">
        <v>349</v>
      </c>
      <c r="B309" s="7">
        <v>46092.45144675926</v>
      </c>
      <c r="C309" s="6" t="s">
        <v>26</v>
      </c>
      <c r="D309" s="6" t="s">
        <v>1063</v>
      </c>
      <c r="E309" s="6" t="s">
        <v>22</v>
      </c>
      <c r="F309" s="10">
        <v>11541887</v>
      </c>
      <c r="G309" s="6">
        <v>3</v>
      </c>
      <c r="H309" s="6" t="s">
        <v>16</v>
      </c>
      <c r="I309" s="6" t="s">
        <v>23</v>
      </c>
      <c r="J309" s="6" t="s">
        <v>17</v>
      </c>
      <c r="K309" s="6" t="s">
        <v>18</v>
      </c>
      <c r="L309" s="6">
        <v>11100000</v>
      </c>
      <c r="M309" s="6" t="str">
        <f t="shared" si="4"/>
        <v>80L-1.2Cr</v>
      </c>
    </row>
    <row r="310" spans="1:13" x14ac:dyDescent="0.25">
      <c r="A310" s="6" t="s">
        <v>350</v>
      </c>
      <c r="B310" s="7">
        <v>46092.677673611113</v>
      </c>
      <c r="C310" s="6" t="s">
        <v>36</v>
      </c>
      <c r="D310" s="6" t="s">
        <v>21</v>
      </c>
      <c r="E310" s="6" t="s">
        <v>15</v>
      </c>
      <c r="F310" s="10">
        <v>4531086</v>
      </c>
      <c r="G310" s="6">
        <v>2</v>
      </c>
      <c r="H310" s="6" t="s">
        <v>16</v>
      </c>
      <c r="I310" s="6" t="s">
        <v>17</v>
      </c>
      <c r="J310" s="6" t="s">
        <v>23</v>
      </c>
      <c r="K310" s="6" t="s">
        <v>24</v>
      </c>
      <c r="L310" s="6"/>
      <c r="M310" s="6" t="str">
        <f t="shared" si="4"/>
        <v>30L-50L</v>
      </c>
    </row>
    <row r="311" spans="1:13" x14ac:dyDescent="0.25">
      <c r="A311" s="6" t="s">
        <v>351</v>
      </c>
      <c r="B311" s="7">
        <v>46092.903900462959</v>
      </c>
      <c r="C311" s="6" t="s">
        <v>26</v>
      </c>
      <c r="D311" s="6" t="s">
        <v>1063</v>
      </c>
      <c r="E311" s="6" t="s">
        <v>15</v>
      </c>
      <c r="F311" s="10">
        <v>3524006</v>
      </c>
      <c r="G311" s="6">
        <v>3</v>
      </c>
      <c r="H311" s="6" t="s">
        <v>37</v>
      </c>
      <c r="I311" s="6" t="s">
        <v>23</v>
      </c>
      <c r="J311" s="6" t="s">
        <v>23</v>
      </c>
      <c r="K311" s="6" t="s">
        <v>28</v>
      </c>
      <c r="L311" s="6"/>
      <c r="M311" s="6" t="str">
        <f t="shared" si="4"/>
        <v>30L-50L</v>
      </c>
    </row>
    <row r="312" spans="1:13" x14ac:dyDescent="0.25">
      <c r="A312" s="6" t="s">
        <v>352</v>
      </c>
      <c r="B312" s="7">
        <v>46093.130127314813</v>
      </c>
      <c r="C312" s="6" t="s">
        <v>20</v>
      </c>
      <c r="D312" s="6" t="s">
        <v>1059</v>
      </c>
      <c r="E312" s="6" t="s">
        <v>15</v>
      </c>
      <c r="F312" s="10">
        <v>3340912</v>
      </c>
      <c r="G312" s="6">
        <v>1</v>
      </c>
      <c r="H312" s="6" t="s">
        <v>37</v>
      </c>
      <c r="I312" s="6" t="s">
        <v>23</v>
      </c>
      <c r="J312" s="6" t="s">
        <v>23</v>
      </c>
      <c r="K312" s="6" t="s">
        <v>28</v>
      </c>
      <c r="L312" s="6"/>
      <c r="M312" s="6" t="str">
        <f t="shared" si="4"/>
        <v>30L-50L</v>
      </c>
    </row>
    <row r="313" spans="1:13" x14ac:dyDescent="0.25">
      <c r="A313" s="6" t="s">
        <v>353</v>
      </c>
      <c r="B313" s="7">
        <v>46093.356354166666</v>
      </c>
      <c r="C313" s="6" t="s">
        <v>13</v>
      </c>
      <c r="D313" s="6" t="s">
        <v>1061</v>
      </c>
      <c r="E313" s="6" t="s">
        <v>27</v>
      </c>
      <c r="F313" s="10">
        <v>4252138</v>
      </c>
      <c r="G313" s="6">
        <v>4</v>
      </c>
      <c r="H313" s="6" t="s">
        <v>16</v>
      </c>
      <c r="I313" s="6" t="s">
        <v>23</v>
      </c>
      <c r="J313" s="6" t="s">
        <v>23</v>
      </c>
      <c r="K313" s="6" t="s">
        <v>28</v>
      </c>
      <c r="L313" s="6"/>
      <c r="M313" s="6" t="str">
        <f t="shared" si="4"/>
        <v>30L-50L</v>
      </c>
    </row>
    <row r="314" spans="1:13" x14ac:dyDescent="0.25">
      <c r="A314" s="6" t="s">
        <v>354</v>
      </c>
      <c r="B314" s="7">
        <v>46093.58258101852</v>
      </c>
      <c r="C314" s="6" t="s">
        <v>13</v>
      </c>
      <c r="D314" s="6" t="s">
        <v>1060</v>
      </c>
      <c r="E314" s="6" t="s">
        <v>15</v>
      </c>
      <c r="F314" s="10">
        <v>7112243</v>
      </c>
      <c r="G314" s="6">
        <v>2</v>
      </c>
      <c r="H314" s="6" t="s">
        <v>37</v>
      </c>
      <c r="I314" s="6" t="s">
        <v>17</v>
      </c>
      <c r="J314" s="6" t="s">
        <v>23</v>
      </c>
      <c r="K314" s="6" t="s">
        <v>24</v>
      </c>
      <c r="L314" s="6"/>
      <c r="M314" s="6" t="str">
        <f t="shared" si="4"/>
        <v>50L-80L</v>
      </c>
    </row>
    <row r="315" spans="1:13" x14ac:dyDescent="0.25">
      <c r="A315" s="6" t="s">
        <v>355</v>
      </c>
      <c r="B315" s="7">
        <v>46093.808807870373</v>
      </c>
      <c r="C315" s="6" t="s">
        <v>33</v>
      </c>
      <c r="D315" s="6" t="s">
        <v>1063</v>
      </c>
      <c r="E315" s="6" t="s">
        <v>22</v>
      </c>
      <c r="F315" s="10">
        <v>9990018</v>
      </c>
      <c r="G315" s="6">
        <v>1</v>
      </c>
      <c r="H315" s="6" t="s">
        <v>16</v>
      </c>
      <c r="I315" s="6" t="s">
        <v>23</v>
      </c>
      <c r="J315" s="6" t="s">
        <v>17</v>
      </c>
      <c r="K315" s="6" t="s">
        <v>28</v>
      </c>
      <c r="L315" s="6"/>
      <c r="M315" s="6" t="str">
        <f t="shared" si="4"/>
        <v>80L-1.2Cr</v>
      </c>
    </row>
    <row r="316" spans="1:13" x14ac:dyDescent="0.25">
      <c r="A316" s="6" t="s">
        <v>356</v>
      </c>
      <c r="B316" s="7">
        <v>46094.035034722219</v>
      </c>
      <c r="C316" s="6" t="s">
        <v>36</v>
      </c>
      <c r="D316" s="6" t="s">
        <v>1060</v>
      </c>
      <c r="E316" s="6" t="s">
        <v>27</v>
      </c>
      <c r="F316" s="10">
        <v>2976971</v>
      </c>
      <c r="G316" s="6">
        <v>1</v>
      </c>
      <c r="H316" s="6" t="s">
        <v>37</v>
      </c>
      <c r="I316" s="6" t="s">
        <v>23</v>
      </c>
      <c r="J316" s="6" t="s">
        <v>23</v>
      </c>
      <c r="K316" s="6" t="s">
        <v>28</v>
      </c>
      <c r="L316" s="6"/>
      <c r="M316" s="6" t="str">
        <f t="shared" si="4"/>
        <v>Below 30L</v>
      </c>
    </row>
    <row r="317" spans="1:13" x14ac:dyDescent="0.25">
      <c r="A317" s="6" t="s">
        <v>357</v>
      </c>
      <c r="B317" s="7">
        <v>46094.261261574073</v>
      </c>
      <c r="C317" s="6" t="s">
        <v>30</v>
      </c>
      <c r="D317" s="6" t="s">
        <v>1062</v>
      </c>
      <c r="E317" s="6" t="s">
        <v>15</v>
      </c>
      <c r="F317" s="10">
        <v>4467130</v>
      </c>
      <c r="G317" s="6">
        <v>2</v>
      </c>
      <c r="H317" s="6" t="s">
        <v>16</v>
      </c>
      <c r="I317" s="6" t="s">
        <v>17</v>
      </c>
      <c r="J317" s="6" t="s">
        <v>23</v>
      </c>
      <c r="K317" s="6" t="s">
        <v>24</v>
      </c>
      <c r="L317" s="6"/>
      <c r="M317" s="6" t="str">
        <f t="shared" si="4"/>
        <v>30L-50L</v>
      </c>
    </row>
    <row r="318" spans="1:13" x14ac:dyDescent="0.25">
      <c r="A318" s="6" t="s">
        <v>358</v>
      </c>
      <c r="B318" s="7">
        <v>46094.487488425926</v>
      </c>
      <c r="C318" s="6" t="s">
        <v>20</v>
      </c>
      <c r="D318" s="6" t="s">
        <v>1060</v>
      </c>
      <c r="E318" s="6" t="s">
        <v>15</v>
      </c>
      <c r="F318" s="10">
        <v>4532102</v>
      </c>
      <c r="G318" s="6">
        <v>3</v>
      </c>
      <c r="H318" s="6" t="s">
        <v>16</v>
      </c>
      <c r="I318" s="6" t="s">
        <v>23</v>
      </c>
      <c r="J318" s="6" t="s">
        <v>23</v>
      </c>
      <c r="K318" s="6" t="s">
        <v>28</v>
      </c>
      <c r="L318" s="6"/>
      <c r="M318" s="6" t="str">
        <f t="shared" si="4"/>
        <v>30L-50L</v>
      </c>
    </row>
    <row r="319" spans="1:13" x14ac:dyDescent="0.25">
      <c r="A319" s="6" t="s">
        <v>359</v>
      </c>
      <c r="B319" s="7">
        <v>46094.71371527778</v>
      </c>
      <c r="C319" s="6" t="s">
        <v>13</v>
      </c>
      <c r="D319" s="6" t="s">
        <v>1062</v>
      </c>
      <c r="E319" s="6" t="s">
        <v>15</v>
      </c>
      <c r="F319" s="10">
        <v>8642772</v>
      </c>
      <c r="G319" s="6">
        <v>2</v>
      </c>
      <c r="H319" s="6" t="s">
        <v>16</v>
      </c>
      <c r="I319" s="6" t="s">
        <v>17</v>
      </c>
      <c r="J319" s="6" t="s">
        <v>17</v>
      </c>
      <c r="K319" s="6" t="s">
        <v>18</v>
      </c>
      <c r="L319" s="6">
        <v>8800000</v>
      </c>
      <c r="M319" s="6" t="str">
        <f t="shared" si="4"/>
        <v>80L-1.2Cr</v>
      </c>
    </row>
    <row r="320" spans="1:13" x14ac:dyDescent="0.25">
      <c r="A320" s="6" t="s">
        <v>360</v>
      </c>
      <c r="B320" s="7">
        <v>46094.939942129633</v>
      </c>
      <c r="C320" s="6" t="s">
        <v>13</v>
      </c>
      <c r="D320" s="6" t="s">
        <v>1059</v>
      </c>
      <c r="E320" s="6" t="s">
        <v>15</v>
      </c>
      <c r="F320" s="10">
        <v>3412755</v>
      </c>
      <c r="G320" s="6">
        <v>3</v>
      </c>
      <c r="H320" s="6" t="s">
        <v>37</v>
      </c>
      <c r="I320" s="6" t="s">
        <v>23</v>
      </c>
      <c r="J320" s="6" t="s">
        <v>23</v>
      </c>
      <c r="K320" s="6" t="s">
        <v>28</v>
      </c>
      <c r="L320" s="6"/>
      <c r="M320" s="6" t="str">
        <f t="shared" si="4"/>
        <v>30L-50L</v>
      </c>
    </row>
    <row r="321" spans="1:13" x14ac:dyDescent="0.25">
      <c r="A321" s="6" t="s">
        <v>361</v>
      </c>
      <c r="B321" s="7">
        <v>46095.166168981479</v>
      </c>
      <c r="C321" s="6" t="s">
        <v>26</v>
      </c>
      <c r="D321" s="6" t="s">
        <v>1059</v>
      </c>
      <c r="E321" s="6" t="s">
        <v>15</v>
      </c>
      <c r="F321" s="10">
        <v>8662302</v>
      </c>
      <c r="G321" s="6">
        <v>2</v>
      </c>
      <c r="H321" s="6" t="s">
        <v>16</v>
      </c>
      <c r="I321" s="6" t="s">
        <v>17</v>
      </c>
      <c r="J321" s="6" t="s">
        <v>17</v>
      </c>
      <c r="K321" s="6" t="s">
        <v>24</v>
      </c>
      <c r="L321" s="6"/>
      <c r="M321" s="6" t="str">
        <f t="shared" si="4"/>
        <v>80L-1.2Cr</v>
      </c>
    </row>
    <row r="322" spans="1:13" x14ac:dyDescent="0.25">
      <c r="A322" s="6" t="s">
        <v>362</v>
      </c>
      <c r="B322" s="7">
        <v>46095.392395833333</v>
      </c>
      <c r="C322" s="6" t="s">
        <v>20</v>
      </c>
      <c r="D322" s="6" t="s">
        <v>1059</v>
      </c>
      <c r="E322" s="6" t="s">
        <v>27</v>
      </c>
      <c r="F322" s="10">
        <v>2246055</v>
      </c>
      <c r="G322" s="6">
        <v>3</v>
      </c>
      <c r="H322" s="6" t="s">
        <v>16</v>
      </c>
      <c r="I322" s="6" t="s">
        <v>17</v>
      </c>
      <c r="J322" s="6" t="s">
        <v>17</v>
      </c>
      <c r="K322" s="6" t="s">
        <v>24</v>
      </c>
      <c r="L322" s="6"/>
      <c r="M322" s="6" t="str">
        <f t="shared" ref="M322:M385" si="5">IF(F322&lt;3000000,"Below 30L",IF(F322&lt;5000000,"30L-50L",IF(F322&lt;8000000,"50L-80L",IF(F322&lt;12000000,"80L-1.2Cr","Above 1.2Cr"))))</f>
        <v>Below 30L</v>
      </c>
    </row>
    <row r="323" spans="1:13" x14ac:dyDescent="0.25">
      <c r="A323" s="6" t="s">
        <v>363</v>
      </c>
      <c r="B323" s="7">
        <v>46095.618622685186</v>
      </c>
      <c r="C323" s="6" t="s">
        <v>30</v>
      </c>
      <c r="D323" s="6" t="s">
        <v>1059</v>
      </c>
      <c r="E323" s="6" t="s">
        <v>22</v>
      </c>
      <c r="F323" s="10">
        <v>6206903</v>
      </c>
      <c r="G323" s="6">
        <v>1</v>
      </c>
      <c r="H323" s="6" t="s">
        <v>16</v>
      </c>
      <c r="I323" s="6" t="s">
        <v>17</v>
      </c>
      <c r="J323" s="6" t="s">
        <v>23</v>
      </c>
      <c r="K323" s="6" t="s">
        <v>24</v>
      </c>
      <c r="L323" s="6"/>
      <c r="M323" s="6" t="str">
        <f t="shared" si="5"/>
        <v>50L-80L</v>
      </c>
    </row>
    <row r="324" spans="1:13" x14ac:dyDescent="0.25">
      <c r="A324" s="6" t="s">
        <v>364</v>
      </c>
      <c r="B324" s="7">
        <v>46095.844849537039</v>
      </c>
      <c r="C324" s="6" t="s">
        <v>30</v>
      </c>
      <c r="D324" s="6" t="s">
        <v>1061</v>
      </c>
      <c r="E324" s="6" t="s">
        <v>22</v>
      </c>
      <c r="F324" s="10">
        <v>7038218</v>
      </c>
      <c r="G324" s="6">
        <v>1</v>
      </c>
      <c r="H324" s="6" t="s">
        <v>37</v>
      </c>
      <c r="I324" s="6" t="s">
        <v>23</v>
      </c>
      <c r="J324" s="6" t="s">
        <v>23</v>
      </c>
      <c r="K324" s="6" t="s">
        <v>28</v>
      </c>
      <c r="L324" s="6"/>
      <c r="M324" s="6" t="str">
        <f t="shared" si="5"/>
        <v>50L-80L</v>
      </c>
    </row>
    <row r="325" spans="1:13" x14ac:dyDescent="0.25">
      <c r="A325" s="6" t="s">
        <v>365</v>
      </c>
      <c r="B325" s="7">
        <v>46096.071076388886</v>
      </c>
      <c r="C325" s="6" t="s">
        <v>26</v>
      </c>
      <c r="D325" s="6" t="s">
        <v>1059</v>
      </c>
      <c r="E325" s="6" t="s">
        <v>15</v>
      </c>
      <c r="F325" s="10">
        <v>3287623</v>
      </c>
      <c r="G325" s="6">
        <v>3</v>
      </c>
      <c r="H325" s="6" t="s">
        <v>16</v>
      </c>
      <c r="I325" s="6" t="s">
        <v>23</v>
      </c>
      <c r="J325" s="6" t="s">
        <v>23</v>
      </c>
      <c r="K325" s="6" t="s">
        <v>28</v>
      </c>
      <c r="L325" s="6"/>
      <c r="M325" s="6" t="str">
        <f t="shared" si="5"/>
        <v>30L-50L</v>
      </c>
    </row>
    <row r="326" spans="1:13" x14ac:dyDescent="0.25">
      <c r="A326" s="6" t="s">
        <v>366</v>
      </c>
      <c r="B326" s="7">
        <v>46096.297291666669</v>
      </c>
      <c r="C326" s="6" t="s">
        <v>33</v>
      </c>
      <c r="D326" s="6" t="s">
        <v>1061</v>
      </c>
      <c r="E326" s="6" t="s">
        <v>27</v>
      </c>
      <c r="F326" s="10">
        <v>1555863</v>
      </c>
      <c r="G326" s="6">
        <v>2</v>
      </c>
      <c r="H326" s="6" t="s">
        <v>16</v>
      </c>
      <c r="I326" s="6" t="s">
        <v>23</v>
      </c>
      <c r="J326" s="6" t="s">
        <v>23</v>
      </c>
      <c r="K326" s="6" t="s">
        <v>28</v>
      </c>
      <c r="L326" s="6"/>
      <c r="M326" s="6" t="str">
        <f t="shared" si="5"/>
        <v>Below 30L</v>
      </c>
    </row>
    <row r="327" spans="1:13" x14ac:dyDescent="0.25">
      <c r="A327" s="6" t="s">
        <v>367</v>
      </c>
      <c r="B327" s="7">
        <v>46096.523518518516</v>
      </c>
      <c r="C327" s="6" t="s">
        <v>36</v>
      </c>
      <c r="D327" s="6" t="s">
        <v>21</v>
      </c>
      <c r="E327" s="6" t="s">
        <v>27</v>
      </c>
      <c r="F327" s="10">
        <v>1995654</v>
      </c>
      <c r="G327" s="6">
        <v>1</v>
      </c>
      <c r="H327" s="6" t="s">
        <v>16</v>
      </c>
      <c r="I327" s="6" t="s">
        <v>23</v>
      </c>
      <c r="J327" s="6" t="s">
        <v>23</v>
      </c>
      <c r="K327" s="6" t="s">
        <v>18</v>
      </c>
      <c r="L327" s="6">
        <v>1850000</v>
      </c>
      <c r="M327" s="6" t="str">
        <f t="shared" si="5"/>
        <v>Below 30L</v>
      </c>
    </row>
    <row r="328" spans="1:13" x14ac:dyDescent="0.25">
      <c r="A328" s="6" t="s">
        <v>368</v>
      </c>
      <c r="B328" s="7">
        <v>46096.749745370369</v>
      </c>
      <c r="C328" s="6" t="s">
        <v>20</v>
      </c>
      <c r="D328" s="6" t="s">
        <v>1059</v>
      </c>
      <c r="E328" s="6" t="s">
        <v>27</v>
      </c>
      <c r="F328" s="10">
        <v>2277635</v>
      </c>
      <c r="G328" s="6">
        <v>2</v>
      </c>
      <c r="H328" s="6" t="s">
        <v>16</v>
      </c>
      <c r="I328" s="6" t="s">
        <v>17</v>
      </c>
      <c r="J328" s="6" t="s">
        <v>23</v>
      </c>
      <c r="K328" s="6" t="s">
        <v>24</v>
      </c>
      <c r="L328" s="6"/>
      <c r="M328" s="6" t="str">
        <f t="shared" si="5"/>
        <v>Below 30L</v>
      </c>
    </row>
    <row r="329" spans="1:13" x14ac:dyDescent="0.25">
      <c r="A329" s="6" t="s">
        <v>369</v>
      </c>
      <c r="B329" s="7">
        <v>46096.975972222222</v>
      </c>
      <c r="C329" s="6" t="s">
        <v>30</v>
      </c>
      <c r="D329" s="6" t="s">
        <v>1063</v>
      </c>
      <c r="E329" s="6" t="s">
        <v>15</v>
      </c>
      <c r="F329" s="10">
        <v>4778496</v>
      </c>
      <c r="G329" s="6">
        <v>1</v>
      </c>
      <c r="H329" s="6" t="s">
        <v>37</v>
      </c>
      <c r="I329" s="6" t="s">
        <v>17</v>
      </c>
      <c r="J329" s="6" t="s">
        <v>23</v>
      </c>
      <c r="K329" s="6" t="s">
        <v>24</v>
      </c>
      <c r="L329" s="6"/>
      <c r="M329" s="6" t="str">
        <f t="shared" si="5"/>
        <v>30L-50L</v>
      </c>
    </row>
    <row r="330" spans="1:13" x14ac:dyDescent="0.25">
      <c r="A330" s="6" t="s">
        <v>370</v>
      </c>
      <c r="B330" s="7">
        <v>46097.202199074076</v>
      </c>
      <c r="C330" s="6" t="s">
        <v>20</v>
      </c>
      <c r="D330" s="6" t="s">
        <v>1062</v>
      </c>
      <c r="E330" s="6" t="s">
        <v>22</v>
      </c>
      <c r="F330" s="10">
        <v>12831258</v>
      </c>
      <c r="G330" s="6">
        <v>3</v>
      </c>
      <c r="H330" s="6" t="s">
        <v>16</v>
      </c>
      <c r="I330" s="6" t="s">
        <v>23</v>
      </c>
      <c r="J330" s="6" t="s">
        <v>23</v>
      </c>
      <c r="K330" s="6" t="s">
        <v>28</v>
      </c>
      <c r="L330" s="6"/>
      <c r="M330" s="6" t="str">
        <f t="shared" si="5"/>
        <v>Above 1.2Cr</v>
      </c>
    </row>
    <row r="331" spans="1:13" x14ac:dyDescent="0.25">
      <c r="A331" s="6" t="s">
        <v>371</v>
      </c>
      <c r="B331" s="7">
        <v>46097.428425925929</v>
      </c>
      <c r="C331" s="6" t="s">
        <v>26</v>
      </c>
      <c r="D331" s="6" t="s">
        <v>1060</v>
      </c>
      <c r="E331" s="6" t="s">
        <v>15</v>
      </c>
      <c r="F331" s="10">
        <v>6379263</v>
      </c>
      <c r="G331" s="6">
        <v>2</v>
      </c>
      <c r="H331" s="6" t="s">
        <v>16</v>
      </c>
      <c r="I331" s="6" t="s">
        <v>23</v>
      </c>
      <c r="J331" s="6" t="s">
        <v>17</v>
      </c>
      <c r="K331" s="6" t="s">
        <v>18</v>
      </c>
      <c r="L331" s="6">
        <v>6600000</v>
      </c>
      <c r="M331" s="6" t="str">
        <f t="shared" si="5"/>
        <v>50L-80L</v>
      </c>
    </row>
    <row r="332" spans="1:13" x14ac:dyDescent="0.25">
      <c r="A332" s="6" t="s">
        <v>372</v>
      </c>
      <c r="B332" s="7">
        <v>46097.654652777775</v>
      </c>
      <c r="C332" s="6" t="s">
        <v>26</v>
      </c>
      <c r="D332" s="6" t="s">
        <v>1060</v>
      </c>
      <c r="E332" s="6" t="s">
        <v>15</v>
      </c>
      <c r="F332" s="10">
        <v>5823174</v>
      </c>
      <c r="G332" s="6">
        <v>3</v>
      </c>
      <c r="H332" s="6" t="s">
        <v>16</v>
      </c>
      <c r="I332" s="6" t="s">
        <v>17</v>
      </c>
      <c r="J332" s="6" t="s">
        <v>17</v>
      </c>
      <c r="K332" s="6" t="s">
        <v>18</v>
      </c>
      <c r="L332" s="6">
        <v>5550000</v>
      </c>
      <c r="M332" s="6" t="str">
        <f t="shared" si="5"/>
        <v>50L-80L</v>
      </c>
    </row>
    <row r="333" spans="1:13" x14ac:dyDescent="0.25">
      <c r="A333" s="6" t="s">
        <v>373</v>
      </c>
      <c r="B333" s="7">
        <v>46097.880879629629</v>
      </c>
      <c r="C333" s="6" t="s">
        <v>36</v>
      </c>
      <c r="D333" s="6" t="s">
        <v>1062</v>
      </c>
      <c r="E333" s="6" t="s">
        <v>15</v>
      </c>
      <c r="F333" s="10">
        <v>7200034</v>
      </c>
      <c r="G333" s="6">
        <v>4</v>
      </c>
      <c r="H333" s="6" t="s">
        <v>37</v>
      </c>
      <c r="I333" s="6" t="s">
        <v>17</v>
      </c>
      <c r="J333" s="6" t="s">
        <v>23</v>
      </c>
      <c r="K333" s="6" t="s">
        <v>24</v>
      </c>
      <c r="L333" s="6"/>
      <c r="M333" s="6" t="str">
        <f t="shared" si="5"/>
        <v>50L-80L</v>
      </c>
    </row>
    <row r="334" spans="1:13" x14ac:dyDescent="0.25">
      <c r="A334" s="6" t="s">
        <v>374</v>
      </c>
      <c r="B334" s="7">
        <v>46098.107106481482</v>
      </c>
      <c r="C334" s="6" t="s">
        <v>13</v>
      </c>
      <c r="D334" s="6" t="s">
        <v>1059</v>
      </c>
      <c r="E334" s="6" t="s">
        <v>22</v>
      </c>
      <c r="F334" s="10">
        <v>11166507</v>
      </c>
      <c r="G334" s="6">
        <v>2</v>
      </c>
      <c r="H334" s="6" t="s">
        <v>16</v>
      </c>
      <c r="I334" s="6" t="s">
        <v>17</v>
      </c>
      <c r="J334" s="6" t="s">
        <v>23</v>
      </c>
      <c r="K334" s="6" t="s">
        <v>24</v>
      </c>
      <c r="L334" s="6"/>
      <c r="M334" s="6" t="str">
        <f t="shared" si="5"/>
        <v>80L-1.2Cr</v>
      </c>
    </row>
    <row r="335" spans="1:13" x14ac:dyDescent="0.25">
      <c r="A335" s="6" t="s">
        <v>375</v>
      </c>
      <c r="B335" s="7">
        <v>46098.333333333336</v>
      </c>
      <c r="C335" s="6" t="s">
        <v>13</v>
      </c>
      <c r="D335" s="6" t="s">
        <v>1061</v>
      </c>
      <c r="E335" s="6" t="s">
        <v>22</v>
      </c>
      <c r="F335" s="10">
        <v>8903552</v>
      </c>
      <c r="G335" s="6">
        <v>6</v>
      </c>
      <c r="H335" s="6" t="s">
        <v>16</v>
      </c>
      <c r="I335" s="6" t="s">
        <v>17</v>
      </c>
      <c r="J335" s="6" t="s">
        <v>23</v>
      </c>
      <c r="K335" s="6" t="s">
        <v>24</v>
      </c>
      <c r="L335" s="6"/>
      <c r="M335" s="6" t="str">
        <f t="shared" si="5"/>
        <v>80L-1.2Cr</v>
      </c>
    </row>
    <row r="336" spans="1:13" x14ac:dyDescent="0.25">
      <c r="A336" s="6" t="s">
        <v>376</v>
      </c>
      <c r="B336" s="7">
        <v>46098.559560185182</v>
      </c>
      <c r="C336" s="6" t="s">
        <v>13</v>
      </c>
      <c r="D336" s="6" t="s">
        <v>1061</v>
      </c>
      <c r="E336" s="6" t="s">
        <v>15</v>
      </c>
      <c r="F336" s="10">
        <v>3569829</v>
      </c>
      <c r="G336" s="6">
        <v>3</v>
      </c>
      <c r="H336" s="6" t="s">
        <v>37</v>
      </c>
      <c r="I336" s="6" t="s">
        <v>17</v>
      </c>
      <c r="J336" s="6" t="s">
        <v>23</v>
      </c>
      <c r="K336" s="6" t="s">
        <v>24</v>
      </c>
      <c r="L336" s="6"/>
      <c r="M336" s="6" t="str">
        <f t="shared" si="5"/>
        <v>30L-50L</v>
      </c>
    </row>
    <row r="337" spans="1:13" x14ac:dyDescent="0.25">
      <c r="A337" s="6" t="s">
        <v>377</v>
      </c>
      <c r="B337" s="7">
        <v>46098.785787037035</v>
      </c>
      <c r="C337" s="6" t="s">
        <v>13</v>
      </c>
      <c r="D337" s="6" t="s">
        <v>1062</v>
      </c>
      <c r="E337" s="6" t="s">
        <v>15</v>
      </c>
      <c r="F337" s="10">
        <v>6223520</v>
      </c>
      <c r="G337" s="6">
        <v>3</v>
      </c>
      <c r="H337" s="6" t="s">
        <v>16</v>
      </c>
      <c r="I337" s="6" t="s">
        <v>23</v>
      </c>
      <c r="J337" s="6" t="s">
        <v>23</v>
      </c>
      <c r="K337" s="6" t="s">
        <v>28</v>
      </c>
      <c r="L337" s="6"/>
      <c r="M337" s="6" t="str">
        <f t="shared" si="5"/>
        <v>50L-80L</v>
      </c>
    </row>
    <row r="338" spans="1:13" x14ac:dyDescent="0.25">
      <c r="A338" s="6" t="s">
        <v>378</v>
      </c>
      <c r="B338" s="7">
        <v>46099.012013888889</v>
      </c>
      <c r="C338" s="6" t="s">
        <v>36</v>
      </c>
      <c r="D338" s="6" t="s">
        <v>1059</v>
      </c>
      <c r="E338" s="6" t="s">
        <v>15</v>
      </c>
      <c r="F338" s="10">
        <v>3907179</v>
      </c>
      <c r="G338" s="6">
        <v>3</v>
      </c>
      <c r="H338" s="6" t="s">
        <v>37</v>
      </c>
      <c r="I338" s="6" t="s">
        <v>23</v>
      </c>
      <c r="J338" s="6" t="s">
        <v>23</v>
      </c>
      <c r="K338" s="6" t="s">
        <v>28</v>
      </c>
      <c r="L338" s="6"/>
      <c r="M338" s="6" t="str">
        <f t="shared" si="5"/>
        <v>30L-50L</v>
      </c>
    </row>
    <row r="339" spans="1:13" x14ac:dyDescent="0.25">
      <c r="A339" s="6" t="s">
        <v>379</v>
      </c>
      <c r="B339" s="7">
        <v>46099.238240740742</v>
      </c>
      <c r="C339" s="6" t="s">
        <v>30</v>
      </c>
      <c r="D339" s="6" t="s">
        <v>1062</v>
      </c>
      <c r="E339" s="6" t="s">
        <v>15</v>
      </c>
      <c r="F339" s="10">
        <v>3177597</v>
      </c>
      <c r="G339" s="6">
        <v>3</v>
      </c>
      <c r="H339" s="6" t="s">
        <v>16</v>
      </c>
      <c r="I339" s="6" t="s">
        <v>17</v>
      </c>
      <c r="J339" s="6" t="s">
        <v>23</v>
      </c>
      <c r="K339" s="6" t="s">
        <v>24</v>
      </c>
      <c r="L339" s="6"/>
      <c r="M339" s="6" t="str">
        <f t="shared" si="5"/>
        <v>30L-50L</v>
      </c>
    </row>
    <row r="340" spans="1:13" x14ac:dyDescent="0.25">
      <c r="A340" s="6" t="s">
        <v>380</v>
      </c>
      <c r="B340" s="7">
        <v>46099.464467592596</v>
      </c>
      <c r="C340" s="6" t="s">
        <v>20</v>
      </c>
      <c r="D340" s="6" t="s">
        <v>1059</v>
      </c>
      <c r="E340" s="6" t="s">
        <v>15</v>
      </c>
      <c r="F340" s="10">
        <v>7961313</v>
      </c>
      <c r="G340" s="6">
        <v>3</v>
      </c>
      <c r="H340" s="6" t="s">
        <v>16</v>
      </c>
      <c r="I340" s="6" t="s">
        <v>17</v>
      </c>
      <c r="J340" s="6" t="s">
        <v>23</v>
      </c>
      <c r="K340" s="6" t="s">
        <v>24</v>
      </c>
      <c r="L340" s="6"/>
      <c r="M340" s="6" t="str">
        <f t="shared" si="5"/>
        <v>50L-80L</v>
      </c>
    </row>
    <row r="341" spans="1:13" x14ac:dyDescent="0.25">
      <c r="A341" s="6" t="s">
        <v>381</v>
      </c>
      <c r="B341" s="7">
        <v>46099.690694444442</v>
      </c>
      <c r="C341" s="6" t="s">
        <v>13</v>
      </c>
      <c r="D341" s="6" t="s">
        <v>1059</v>
      </c>
      <c r="E341" s="6" t="s">
        <v>15</v>
      </c>
      <c r="F341" s="10">
        <v>5836287</v>
      </c>
      <c r="G341" s="6">
        <v>2</v>
      </c>
      <c r="H341" s="6" t="s">
        <v>16</v>
      </c>
      <c r="I341" s="6" t="s">
        <v>17</v>
      </c>
      <c r="J341" s="6" t="s">
        <v>23</v>
      </c>
      <c r="K341" s="6" t="s">
        <v>24</v>
      </c>
      <c r="L341" s="6"/>
      <c r="M341" s="6" t="str">
        <f t="shared" si="5"/>
        <v>50L-80L</v>
      </c>
    </row>
    <row r="342" spans="1:13" x14ac:dyDescent="0.25">
      <c r="A342" s="6" t="s">
        <v>382</v>
      </c>
      <c r="B342" s="7">
        <v>46099.916921296295</v>
      </c>
      <c r="C342" s="6" t="s">
        <v>20</v>
      </c>
      <c r="D342" s="6" t="s">
        <v>1059</v>
      </c>
      <c r="E342" s="6" t="s">
        <v>22</v>
      </c>
      <c r="F342" s="10">
        <v>7471926</v>
      </c>
      <c r="G342" s="6">
        <v>1</v>
      </c>
      <c r="H342" s="6" t="s">
        <v>37</v>
      </c>
      <c r="I342" s="6" t="s">
        <v>17</v>
      </c>
      <c r="J342" s="6" t="s">
        <v>23</v>
      </c>
      <c r="K342" s="6" t="s">
        <v>24</v>
      </c>
      <c r="L342" s="6"/>
      <c r="M342" s="6" t="str">
        <f t="shared" si="5"/>
        <v>50L-80L</v>
      </c>
    </row>
    <row r="343" spans="1:13" x14ac:dyDescent="0.25">
      <c r="A343" s="6" t="s">
        <v>383</v>
      </c>
      <c r="B343" s="7">
        <v>46100.143148148149</v>
      </c>
      <c r="C343" s="6" t="s">
        <v>20</v>
      </c>
      <c r="D343" s="6" t="s">
        <v>1060</v>
      </c>
      <c r="E343" s="6" t="s">
        <v>15</v>
      </c>
      <c r="F343" s="10">
        <v>3645303</v>
      </c>
      <c r="G343" s="6">
        <v>1</v>
      </c>
      <c r="H343" s="6" t="s">
        <v>16</v>
      </c>
      <c r="I343" s="6" t="s">
        <v>17</v>
      </c>
      <c r="J343" s="6" t="s">
        <v>17</v>
      </c>
      <c r="K343" s="6" t="s">
        <v>18</v>
      </c>
      <c r="L343" s="6">
        <v>3500000</v>
      </c>
      <c r="M343" s="6" t="str">
        <f t="shared" si="5"/>
        <v>30L-50L</v>
      </c>
    </row>
    <row r="344" spans="1:13" x14ac:dyDescent="0.25">
      <c r="A344" s="6" t="s">
        <v>384</v>
      </c>
      <c r="B344" s="7">
        <v>46100.369375000002</v>
      </c>
      <c r="C344" s="6" t="s">
        <v>13</v>
      </c>
      <c r="D344" s="6" t="s">
        <v>1061</v>
      </c>
      <c r="E344" s="6" t="s">
        <v>15</v>
      </c>
      <c r="F344" s="10">
        <v>4272597</v>
      </c>
      <c r="G344" s="6">
        <v>2</v>
      </c>
      <c r="H344" s="6" t="s">
        <v>16</v>
      </c>
      <c r="I344" s="6" t="s">
        <v>17</v>
      </c>
      <c r="J344" s="6" t="s">
        <v>23</v>
      </c>
      <c r="K344" s="6" t="s">
        <v>24</v>
      </c>
      <c r="L344" s="6"/>
      <c r="M344" s="6" t="str">
        <f t="shared" si="5"/>
        <v>30L-50L</v>
      </c>
    </row>
    <row r="345" spans="1:13" x14ac:dyDescent="0.25">
      <c r="A345" s="6" t="s">
        <v>385</v>
      </c>
      <c r="B345" s="7">
        <v>46100.595590277779</v>
      </c>
      <c r="C345" s="6" t="s">
        <v>20</v>
      </c>
      <c r="D345" s="6" t="s">
        <v>1062</v>
      </c>
      <c r="E345" s="6" t="s">
        <v>15</v>
      </c>
      <c r="F345" s="10">
        <v>4795600</v>
      </c>
      <c r="G345" s="6">
        <v>2</v>
      </c>
      <c r="H345" s="6" t="s">
        <v>37</v>
      </c>
      <c r="I345" s="6" t="s">
        <v>23</v>
      </c>
      <c r="J345" s="6" t="s">
        <v>23</v>
      </c>
      <c r="K345" s="6" t="s">
        <v>28</v>
      </c>
      <c r="L345" s="6"/>
      <c r="M345" s="6" t="str">
        <f t="shared" si="5"/>
        <v>30L-50L</v>
      </c>
    </row>
    <row r="346" spans="1:13" x14ac:dyDescent="0.25">
      <c r="A346" s="6" t="s">
        <v>386</v>
      </c>
      <c r="B346" s="7">
        <v>46100.821817129632</v>
      </c>
      <c r="C346" s="6" t="s">
        <v>26</v>
      </c>
      <c r="D346" s="6" t="s">
        <v>1063</v>
      </c>
      <c r="E346" s="6" t="s">
        <v>27</v>
      </c>
      <c r="F346" s="10">
        <v>3316364</v>
      </c>
      <c r="G346" s="6">
        <v>2</v>
      </c>
      <c r="H346" s="6" t="s">
        <v>16</v>
      </c>
      <c r="I346" s="6" t="s">
        <v>17</v>
      </c>
      <c r="J346" s="6" t="s">
        <v>17</v>
      </c>
      <c r="K346" s="6" t="s">
        <v>18</v>
      </c>
      <c r="L346" s="6">
        <v>3450000</v>
      </c>
      <c r="M346" s="6" t="str">
        <f t="shared" si="5"/>
        <v>30L-50L</v>
      </c>
    </row>
    <row r="347" spans="1:13" x14ac:dyDescent="0.25">
      <c r="A347" s="6" t="s">
        <v>387</v>
      </c>
      <c r="B347" s="7">
        <v>46101.048043981478</v>
      </c>
      <c r="C347" s="6" t="s">
        <v>30</v>
      </c>
      <c r="D347" s="6" t="s">
        <v>21</v>
      </c>
      <c r="E347" s="6" t="s">
        <v>22</v>
      </c>
      <c r="F347" s="10">
        <v>8616842</v>
      </c>
      <c r="G347" s="6">
        <v>1</v>
      </c>
      <c r="H347" s="6" t="s">
        <v>16</v>
      </c>
      <c r="I347" s="6" t="s">
        <v>17</v>
      </c>
      <c r="J347" s="6" t="s">
        <v>23</v>
      </c>
      <c r="K347" s="6" t="s">
        <v>24</v>
      </c>
      <c r="L347" s="6"/>
      <c r="M347" s="6" t="str">
        <f t="shared" si="5"/>
        <v>80L-1.2Cr</v>
      </c>
    </row>
    <row r="348" spans="1:13" x14ac:dyDescent="0.25">
      <c r="A348" s="6" t="s">
        <v>388</v>
      </c>
      <c r="B348" s="7">
        <v>46101.274270833332</v>
      </c>
      <c r="C348" s="6" t="s">
        <v>30</v>
      </c>
      <c r="D348" s="6" t="s">
        <v>21</v>
      </c>
      <c r="E348" s="6" t="s">
        <v>22</v>
      </c>
      <c r="F348" s="10">
        <v>7631734</v>
      </c>
      <c r="G348" s="6">
        <v>4</v>
      </c>
      <c r="H348" s="6" t="s">
        <v>16</v>
      </c>
      <c r="I348" s="6" t="s">
        <v>17</v>
      </c>
      <c r="J348" s="6" t="s">
        <v>17</v>
      </c>
      <c r="K348" s="6" t="s">
        <v>24</v>
      </c>
      <c r="L348" s="6"/>
      <c r="M348" s="6" t="str">
        <f t="shared" si="5"/>
        <v>50L-80L</v>
      </c>
    </row>
    <row r="349" spans="1:13" x14ac:dyDescent="0.25">
      <c r="A349" s="6" t="s">
        <v>389</v>
      </c>
      <c r="B349" s="7">
        <v>46101.500497685185</v>
      </c>
      <c r="C349" s="6" t="s">
        <v>13</v>
      </c>
      <c r="D349" s="6" t="s">
        <v>21</v>
      </c>
      <c r="E349" s="6" t="s">
        <v>15</v>
      </c>
      <c r="F349" s="10">
        <v>5330289</v>
      </c>
      <c r="G349" s="6">
        <v>5</v>
      </c>
      <c r="H349" s="6" t="s">
        <v>16</v>
      </c>
      <c r="I349" s="6" t="s">
        <v>23</v>
      </c>
      <c r="J349" s="6" t="s">
        <v>23</v>
      </c>
      <c r="K349" s="6" t="s">
        <v>28</v>
      </c>
      <c r="L349" s="6"/>
      <c r="M349" s="6" t="str">
        <f t="shared" si="5"/>
        <v>50L-80L</v>
      </c>
    </row>
    <row r="350" spans="1:13" x14ac:dyDescent="0.25">
      <c r="A350" s="6" t="s">
        <v>390</v>
      </c>
      <c r="B350" s="7">
        <v>46101.726724537039</v>
      </c>
      <c r="C350" s="6" t="s">
        <v>26</v>
      </c>
      <c r="D350" s="6" t="s">
        <v>1061</v>
      </c>
      <c r="E350" s="6" t="s">
        <v>22</v>
      </c>
      <c r="F350" s="10">
        <v>10104244</v>
      </c>
      <c r="G350" s="6">
        <v>5</v>
      </c>
      <c r="H350" s="6" t="s">
        <v>16</v>
      </c>
      <c r="I350" s="6" t="s">
        <v>17</v>
      </c>
      <c r="J350" s="6" t="s">
        <v>23</v>
      </c>
      <c r="K350" s="6" t="s">
        <v>24</v>
      </c>
      <c r="L350" s="6"/>
      <c r="M350" s="6" t="str">
        <f t="shared" si="5"/>
        <v>80L-1.2Cr</v>
      </c>
    </row>
    <row r="351" spans="1:13" x14ac:dyDescent="0.25">
      <c r="A351" s="6" t="s">
        <v>391</v>
      </c>
      <c r="B351" s="7">
        <v>46101.952951388892</v>
      </c>
      <c r="C351" s="6" t="s">
        <v>30</v>
      </c>
      <c r="D351" s="6" t="s">
        <v>1059</v>
      </c>
      <c r="E351" s="6" t="s">
        <v>15</v>
      </c>
      <c r="F351" s="10">
        <v>4285076</v>
      </c>
      <c r="G351" s="6">
        <v>2</v>
      </c>
      <c r="H351" s="6" t="s">
        <v>16</v>
      </c>
      <c r="I351" s="6" t="s">
        <v>23</v>
      </c>
      <c r="J351" s="6" t="s">
        <v>23</v>
      </c>
      <c r="K351" s="6" t="s">
        <v>28</v>
      </c>
      <c r="L351" s="6"/>
      <c r="M351" s="6" t="str">
        <f t="shared" si="5"/>
        <v>30L-50L</v>
      </c>
    </row>
    <row r="352" spans="1:13" x14ac:dyDescent="0.25">
      <c r="A352" s="6" t="s">
        <v>392</v>
      </c>
      <c r="B352" s="7">
        <v>46102.179178240738</v>
      </c>
      <c r="C352" s="6" t="s">
        <v>20</v>
      </c>
      <c r="D352" s="6" t="s">
        <v>1061</v>
      </c>
      <c r="E352" s="6" t="s">
        <v>22</v>
      </c>
      <c r="F352" s="10">
        <v>10349040</v>
      </c>
      <c r="G352" s="6">
        <v>4</v>
      </c>
      <c r="H352" s="6" t="s">
        <v>16</v>
      </c>
      <c r="I352" s="6" t="s">
        <v>17</v>
      </c>
      <c r="J352" s="6" t="s">
        <v>23</v>
      </c>
      <c r="K352" s="6" t="s">
        <v>24</v>
      </c>
      <c r="L352" s="6"/>
      <c r="M352" s="6" t="str">
        <f t="shared" si="5"/>
        <v>80L-1.2Cr</v>
      </c>
    </row>
    <row r="353" spans="1:13" x14ac:dyDescent="0.25">
      <c r="A353" s="6" t="s">
        <v>393</v>
      </c>
      <c r="B353" s="7">
        <v>46102.405405092592</v>
      </c>
      <c r="C353" s="6" t="s">
        <v>36</v>
      </c>
      <c r="D353" s="6" t="s">
        <v>1060</v>
      </c>
      <c r="E353" s="6" t="s">
        <v>27</v>
      </c>
      <c r="F353" s="10">
        <v>3036684</v>
      </c>
      <c r="G353" s="6">
        <v>5</v>
      </c>
      <c r="H353" s="6" t="s">
        <v>16</v>
      </c>
      <c r="I353" s="6" t="s">
        <v>23</v>
      </c>
      <c r="J353" s="6" t="s">
        <v>23</v>
      </c>
      <c r="K353" s="6" t="s">
        <v>28</v>
      </c>
      <c r="L353" s="6"/>
      <c r="M353" s="6" t="str">
        <f t="shared" si="5"/>
        <v>30L-50L</v>
      </c>
    </row>
    <row r="354" spans="1:13" x14ac:dyDescent="0.25">
      <c r="A354" s="6" t="s">
        <v>394</v>
      </c>
      <c r="B354" s="7">
        <v>46102.631631944445</v>
      </c>
      <c r="C354" s="6" t="s">
        <v>30</v>
      </c>
      <c r="D354" s="6" t="s">
        <v>21</v>
      </c>
      <c r="E354" s="6" t="s">
        <v>22</v>
      </c>
      <c r="F354" s="10">
        <v>9959411</v>
      </c>
      <c r="G354" s="6">
        <v>2</v>
      </c>
      <c r="H354" s="6" t="s">
        <v>37</v>
      </c>
      <c r="I354" s="6" t="s">
        <v>23</v>
      </c>
      <c r="J354" s="6" t="s">
        <v>23</v>
      </c>
      <c r="K354" s="6" t="s">
        <v>28</v>
      </c>
      <c r="L354" s="6"/>
      <c r="M354" s="6" t="str">
        <f t="shared" si="5"/>
        <v>80L-1.2Cr</v>
      </c>
    </row>
    <row r="355" spans="1:13" x14ac:dyDescent="0.25">
      <c r="A355" s="6" t="s">
        <v>395</v>
      </c>
      <c r="B355" s="7">
        <v>46102.857858796298</v>
      </c>
      <c r="C355" s="6" t="s">
        <v>13</v>
      </c>
      <c r="D355" s="6" t="s">
        <v>1062</v>
      </c>
      <c r="E355" s="6" t="s">
        <v>27</v>
      </c>
      <c r="F355" s="10">
        <v>4342201</v>
      </c>
      <c r="G355" s="6">
        <v>2</v>
      </c>
      <c r="H355" s="6" t="s">
        <v>37</v>
      </c>
      <c r="I355" s="6" t="s">
        <v>23</v>
      </c>
      <c r="J355" s="6" t="s">
        <v>23</v>
      </c>
      <c r="K355" s="6" t="s">
        <v>28</v>
      </c>
      <c r="L355" s="6"/>
      <c r="M355" s="6" t="str">
        <f t="shared" si="5"/>
        <v>30L-50L</v>
      </c>
    </row>
    <row r="356" spans="1:13" x14ac:dyDescent="0.25">
      <c r="A356" s="6" t="s">
        <v>396</v>
      </c>
      <c r="B356" s="7">
        <v>46103.084085648145</v>
      </c>
      <c r="C356" s="6" t="s">
        <v>13</v>
      </c>
      <c r="D356" s="6" t="s">
        <v>1060</v>
      </c>
      <c r="E356" s="6" t="s">
        <v>22</v>
      </c>
      <c r="F356" s="10">
        <v>14382866</v>
      </c>
      <c r="G356" s="6">
        <v>5</v>
      </c>
      <c r="H356" s="6" t="s">
        <v>16</v>
      </c>
      <c r="I356" s="6" t="s">
        <v>23</v>
      </c>
      <c r="J356" s="6" t="s">
        <v>23</v>
      </c>
      <c r="K356" s="6" t="s">
        <v>28</v>
      </c>
      <c r="L356" s="6"/>
      <c r="M356" s="6" t="str">
        <f t="shared" si="5"/>
        <v>Above 1.2Cr</v>
      </c>
    </row>
    <row r="357" spans="1:13" x14ac:dyDescent="0.25">
      <c r="A357" s="6" t="s">
        <v>397</v>
      </c>
      <c r="B357" s="7">
        <v>46103.310312499998</v>
      </c>
      <c r="C357" s="6" t="s">
        <v>30</v>
      </c>
      <c r="D357" s="6" t="s">
        <v>1061</v>
      </c>
      <c r="E357" s="6" t="s">
        <v>15</v>
      </c>
      <c r="F357" s="10">
        <v>4238822</v>
      </c>
      <c r="G357" s="6">
        <v>3</v>
      </c>
      <c r="H357" s="6" t="s">
        <v>37</v>
      </c>
      <c r="I357" s="6" t="s">
        <v>23</v>
      </c>
      <c r="J357" s="6" t="s">
        <v>23</v>
      </c>
      <c r="K357" s="6" t="s">
        <v>28</v>
      </c>
      <c r="L357" s="6"/>
      <c r="M357" s="6" t="str">
        <f t="shared" si="5"/>
        <v>30L-50L</v>
      </c>
    </row>
    <row r="358" spans="1:13" x14ac:dyDescent="0.25">
      <c r="A358" s="6" t="s">
        <v>398</v>
      </c>
      <c r="B358" s="7">
        <v>46103.536539351851</v>
      </c>
      <c r="C358" s="6" t="s">
        <v>13</v>
      </c>
      <c r="D358" s="6" t="s">
        <v>1061</v>
      </c>
      <c r="E358" s="6" t="s">
        <v>27</v>
      </c>
      <c r="F358" s="10">
        <v>4030489</v>
      </c>
      <c r="G358" s="6">
        <v>2</v>
      </c>
      <c r="H358" s="6" t="s">
        <v>16</v>
      </c>
      <c r="I358" s="6" t="s">
        <v>23</v>
      </c>
      <c r="J358" s="6" t="s">
        <v>17</v>
      </c>
      <c r="K358" s="6" t="s">
        <v>28</v>
      </c>
      <c r="L358" s="6"/>
      <c r="M358" s="6" t="str">
        <f t="shared" si="5"/>
        <v>30L-50L</v>
      </c>
    </row>
    <row r="359" spans="1:13" x14ac:dyDescent="0.25">
      <c r="A359" s="6" t="s">
        <v>399</v>
      </c>
      <c r="B359" s="7">
        <v>46103.762766203705</v>
      </c>
      <c r="C359" s="6" t="s">
        <v>30</v>
      </c>
      <c r="D359" s="6" t="s">
        <v>21</v>
      </c>
      <c r="E359" s="6" t="s">
        <v>15</v>
      </c>
      <c r="F359" s="10">
        <v>5058989</v>
      </c>
      <c r="G359" s="6">
        <v>1</v>
      </c>
      <c r="H359" s="6" t="s">
        <v>16</v>
      </c>
      <c r="I359" s="6" t="s">
        <v>17</v>
      </c>
      <c r="J359" s="6" t="s">
        <v>23</v>
      </c>
      <c r="K359" s="6" t="s">
        <v>24</v>
      </c>
      <c r="L359" s="6"/>
      <c r="M359" s="6" t="str">
        <f t="shared" si="5"/>
        <v>50L-80L</v>
      </c>
    </row>
    <row r="360" spans="1:13" x14ac:dyDescent="0.25">
      <c r="A360" s="6" t="s">
        <v>400</v>
      </c>
      <c r="B360" s="7">
        <v>46103.988993055558</v>
      </c>
      <c r="C360" s="6" t="s">
        <v>33</v>
      </c>
      <c r="D360" s="6" t="s">
        <v>1059</v>
      </c>
      <c r="E360" s="6" t="s">
        <v>15</v>
      </c>
      <c r="F360" s="10">
        <v>8533649</v>
      </c>
      <c r="G360" s="6">
        <v>1</v>
      </c>
      <c r="H360" s="6" t="s">
        <v>37</v>
      </c>
      <c r="I360" s="6" t="s">
        <v>17</v>
      </c>
      <c r="J360" s="6" t="s">
        <v>23</v>
      </c>
      <c r="K360" s="6" t="s">
        <v>24</v>
      </c>
      <c r="L360" s="6"/>
      <c r="M360" s="6" t="str">
        <f t="shared" si="5"/>
        <v>80L-1.2Cr</v>
      </c>
    </row>
    <row r="361" spans="1:13" x14ac:dyDescent="0.25">
      <c r="A361" s="6" t="s">
        <v>401</v>
      </c>
      <c r="B361" s="7">
        <v>46104.215219907404</v>
      </c>
      <c r="C361" s="6" t="s">
        <v>20</v>
      </c>
      <c r="D361" s="6" t="s">
        <v>1060</v>
      </c>
      <c r="E361" s="6" t="s">
        <v>15</v>
      </c>
      <c r="F361" s="10">
        <v>4479634</v>
      </c>
      <c r="G361" s="6">
        <v>4</v>
      </c>
      <c r="H361" s="6" t="s">
        <v>16</v>
      </c>
      <c r="I361" s="6" t="s">
        <v>23</v>
      </c>
      <c r="J361" s="6" t="s">
        <v>23</v>
      </c>
      <c r="K361" s="6" t="s">
        <v>28</v>
      </c>
      <c r="L361" s="6"/>
      <c r="M361" s="6" t="str">
        <f t="shared" si="5"/>
        <v>30L-50L</v>
      </c>
    </row>
    <row r="362" spans="1:13" x14ac:dyDescent="0.25">
      <c r="A362" s="6" t="s">
        <v>402</v>
      </c>
      <c r="B362" s="7">
        <v>46104.441446759258</v>
      </c>
      <c r="C362" s="6" t="s">
        <v>26</v>
      </c>
      <c r="D362" s="6" t="s">
        <v>1061</v>
      </c>
      <c r="E362" s="6" t="s">
        <v>15</v>
      </c>
      <c r="F362" s="10">
        <v>5366492</v>
      </c>
      <c r="G362" s="6">
        <v>3</v>
      </c>
      <c r="H362" s="6" t="s">
        <v>16</v>
      </c>
      <c r="I362" s="6" t="s">
        <v>23</v>
      </c>
      <c r="J362" s="6" t="s">
        <v>23</v>
      </c>
      <c r="K362" s="6" t="s">
        <v>28</v>
      </c>
      <c r="L362" s="6"/>
      <c r="M362" s="6" t="str">
        <f t="shared" si="5"/>
        <v>50L-80L</v>
      </c>
    </row>
    <row r="363" spans="1:13" x14ac:dyDescent="0.25">
      <c r="A363" s="6" t="s">
        <v>403</v>
      </c>
      <c r="B363" s="7">
        <v>46104.667662037034</v>
      </c>
      <c r="C363" s="6" t="s">
        <v>30</v>
      </c>
      <c r="D363" s="6" t="s">
        <v>1059</v>
      </c>
      <c r="E363" s="6" t="s">
        <v>15</v>
      </c>
      <c r="F363" s="10">
        <v>5419135</v>
      </c>
      <c r="G363" s="6">
        <v>2</v>
      </c>
      <c r="H363" s="6" t="s">
        <v>37</v>
      </c>
      <c r="I363" s="6" t="s">
        <v>23</v>
      </c>
      <c r="J363" s="6" t="s">
        <v>23</v>
      </c>
      <c r="K363" s="6" t="s">
        <v>28</v>
      </c>
      <c r="L363" s="6"/>
      <c r="M363" s="6" t="str">
        <f t="shared" si="5"/>
        <v>50L-80L</v>
      </c>
    </row>
    <row r="364" spans="1:13" x14ac:dyDescent="0.25">
      <c r="A364" s="6" t="s">
        <v>404</v>
      </c>
      <c r="B364" s="7">
        <v>46104.893888888888</v>
      </c>
      <c r="C364" s="6" t="s">
        <v>20</v>
      </c>
      <c r="D364" s="6" t="s">
        <v>1062</v>
      </c>
      <c r="E364" s="6" t="s">
        <v>15</v>
      </c>
      <c r="F364" s="10">
        <v>3088059</v>
      </c>
      <c r="G364" s="6">
        <v>1</v>
      </c>
      <c r="H364" s="6" t="s">
        <v>16</v>
      </c>
      <c r="I364" s="6" t="s">
        <v>17</v>
      </c>
      <c r="J364" s="6" t="s">
        <v>17</v>
      </c>
      <c r="K364" s="6" t="s">
        <v>24</v>
      </c>
      <c r="L364" s="6"/>
      <c r="M364" s="6" t="str">
        <f t="shared" si="5"/>
        <v>30L-50L</v>
      </c>
    </row>
    <row r="365" spans="1:13" x14ac:dyDescent="0.25">
      <c r="A365" s="6" t="s">
        <v>405</v>
      </c>
      <c r="B365" s="7">
        <v>46105.120115740741</v>
      </c>
      <c r="C365" s="6" t="s">
        <v>20</v>
      </c>
      <c r="D365" s="6" t="s">
        <v>1062</v>
      </c>
      <c r="E365" s="6" t="s">
        <v>15</v>
      </c>
      <c r="F365" s="10">
        <v>4942137</v>
      </c>
      <c r="G365" s="6">
        <v>3</v>
      </c>
      <c r="H365" s="6" t="s">
        <v>37</v>
      </c>
      <c r="I365" s="6" t="s">
        <v>17</v>
      </c>
      <c r="J365" s="6" t="s">
        <v>23</v>
      </c>
      <c r="K365" s="6" t="s">
        <v>24</v>
      </c>
      <c r="L365" s="6"/>
      <c r="M365" s="6" t="str">
        <f t="shared" si="5"/>
        <v>30L-50L</v>
      </c>
    </row>
    <row r="366" spans="1:13" x14ac:dyDescent="0.25">
      <c r="A366" s="6" t="s">
        <v>406</v>
      </c>
      <c r="B366" s="7">
        <v>46105.346342592595</v>
      </c>
      <c r="C366" s="6" t="s">
        <v>33</v>
      </c>
      <c r="D366" s="6" t="s">
        <v>1062</v>
      </c>
      <c r="E366" s="6" t="s">
        <v>22</v>
      </c>
      <c r="F366" s="10">
        <v>9011163</v>
      </c>
      <c r="G366" s="6">
        <v>3</v>
      </c>
      <c r="H366" s="6" t="s">
        <v>16</v>
      </c>
      <c r="I366" s="6" t="s">
        <v>17</v>
      </c>
      <c r="J366" s="6" t="s">
        <v>23</v>
      </c>
      <c r="K366" s="6" t="s">
        <v>24</v>
      </c>
      <c r="L366" s="6"/>
      <c r="M366" s="6" t="str">
        <f t="shared" si="5"/>
        <v>80L-1.2Cr</v>
      </c>
    </row>
    <row r="367" spans="1:13" x14ac:dyDescent="0.25">
      <c r="A367" s="6" t="s">
        <v>407</v>
      </c>
      <c r="B367" s="7">
        <v>46105.572569444441</v>
      </c>
      <c r="C367" s="6" t="s">
        <v>26</v>
      </c>
      <c r="D367" s="6" t="s">
        <v>1059</v>
      </c>
      <c r="E367" s="6" t="s">
        <v>15</v>
      </c>
      <c r="F367" s="10">
        <v>3329125</v>
      </c>
      <c r="G367" s="6">
        <v>1</v>
      </c>
      <c r="H367" s="6" t="s">
        <v>16</v>
      </c>
      <c r="I367" s="6" t="s">
        <v>23</v>
      </c>
      <c r="J367" s="6" t="s">
        <v>23</v>
      </c>
      <c r="K367" s="6" t="s">
        <v>28</v>
      </c>
      <c r="L367" s="6"/>
      <c r="M367" s="6" t="str">
        <f t="shared" si="5"/>
        <v>30L-50L</v>
      </c>
    </row>
    <row r="368" spans="1:13" x14ac:dyDescent="0.25">
      <c r="A368" s="6" t="s">
        <v>408</v>
      </c>
      <c r="B368" s="7">
        <v>46105.798796296294</v>
      </c>
      <c r="C368" s="6" t="s">
        <v>33</v>
      </c>
      <c r="D368" s="6" t="s">
        <v>1062</v>
      </c>
      <c r="E368" s="6" t="s">
        <v>15</v>
      </c>
      <c r="F368" s="10">
        <v>7630549</v>
      </c>
      <c r="G368" s="6">
        <v>5</v>
      </c>
      <c r="H368" s="6" t="s">
        <v>16</v>
      </c>
      <c r="I368" s="6" t="s">
        <v>17</v>
      </c>
      <c r="J368" s="6" t="s">
        <v>23</v>
      </c>
      <c r="K368" s="6" t="s">
        <v>24</v>
      </c>
      <c r="L368" s="6"/>
      <c r="M368" s="6" t="str">
        <f t="shared" si="5"/>
        <v>50L-80L</v>
      </c>
    </row>
    <row r="369" spans="1:13" x14ac:dyDescent="0.25">
      <c r="A369" s="6" t="s">
        <v>409</v>
      </c>
      <c r="B369" s="7">
        <v>46106.025023148148</v>
      </c>
      <c r="C369" s="6" t="s">
        <v>33</v>
      </c>
      <c r="D369" s="6" t="s">
        <v>1061</v>
      </c>
      <c r="E369" s="6" t="s">
        <v>22</v>
      </c>
      <c r="F369" s="10">
        <v>8279042</v>
      </c>
      <c r="G369" s="6">
        <v>1</v>
      </c>
      <c r="H369" s="6" t="s">
        <v>16</v>
      </c>
      <c r="I369" s="6" t="s">
        <v>17</v>
      </c>
      <c r="J369" s="6" t="s">
        <v>23</v>
      </c>
      <c r="K369" s="6" t="s">
        <v>24</v>
      </c>
      <c r="L369" s="6"/>
      <c r="M369" s="6" t="str">
        <f t="shared" si="5"/>
        <v>80L-1.2Cr</v>
      </c>
    </row>
    <row r="370" spans="1:13" x14ac:dyDescent="0.25">
      <c r="A370" s="6" t="s">
        <v>410</v>
      </c>
      <c r="B370" s="7">
        <v>46106.251250000001</v>
      </c>
      <c r="C370" s="6" t="s">
        <v>13</v>
      </c>
      <c r="D370" s="6" t="s">
        <v>1059</v>
      </c>
      <c r="E370" s="6" t="s">
        <v>15</v>
      </c>
      <c r="F370" s="10">
        <v>3117473</v>
      </c>
      <c r="G370" s="6">
        <v>2</v>
      </c>
      <c r="H370" s="6" t="s">
        <v>37</v>
      </c>
      <c r="I370" s="6" t="s">
        <v>23</v>
      </c>
      <c r="J370" s="6" t="s">
        <v>23</v>
      </c>
      <c r="K370" s="6" t="s">
        <v>28</v>
      </c>
      <c r="L370" s="6"/>
      <c r="M370" s="6" t="str">
        <f t="shared" si="5"/>
        <v>30L-50L</v>
      </c>
    </row>
    <row r="371" spans="1:13" x14ac:dyDescent="0.25">
      <c r="A371" s="6" t="s">
        <v>411</v>
      </c>
      <c r="B371" s="7">
        <v>46106.477476851855</v>
      </c>
      <c r="C371" s="6" t="s">
        <v>13</v>
      </c>
      <c r="D371" s="6" t="s">
        <v>1059</v>
      </c>
      <c r="E371" s="6" t="s">
        <v>22</v>
      </c>
      <c r="F371" s="10">
        <v>13440352</v>
      </c>
      <c r="G371" s="6">
        <v>3</v>
      </c>
      <c r="H371" s="6" t="s">
        <v>16</v>
      </c>
      <c r="I371" s="6" t="s">
        <v>17</v>
      </c>
      <c r="J371" s="6" t="s">
        <v>17</v>
      </c>
      <c r="K371" s="6" t="s">
        <v>18</v>
      </c>
      <c r="L371" s="6">
        <v>13400000</v>
      </c>
      <c r="M371" s="6" t="str">
        <f t="shared" si="5"/>
        <v>Above 1.2Cr</v>
      </c>
    </row>
    <row r="372" spans="1:13" x14ac:dyDescent="0.25">
      <c r="A372" s="6" t="s">
        <v>412</v>
      </c>
      <c r="B372" s="7">
        <v>46106.703703703701</v>
      </c>
      <c r="C372" s="6" t="s">
        <v>13</v>
      </c>
      <c r="D372" s="6" t="s">
        <v>1061</v>
      </c>
      <c r="E372" s="6" t="s">
        <v>22</v>
      </c>
      <c r="F372" s="10">
        <v>17053128</v>
      </c>
      <c r="G372" s="6">
        <v>2</v>
      </c>
      <c r="H372" s="6" t="s">
        <v>16</v>
      </c>
      <c r="I372" s="6" t="s">
        <v>17</v>
      </c>
      <c r="J372" s="6" t="s">
        <v>17</v>
      </c>
      <c r="K372" s="6" t="s">
        <v>18</v>
      </c>
      <c r="L372" s="6">
        <v>16500000</v>
      </c>
      <c r="M372" s="6" t="str">
        <f t="shared" si="5"/>
        <v>Above 1.2Cr</v>
      </c>
    </row>
    <row r="373" spans="1:13" x14ac:dyDescent="0.25">
      <c r="A373" s="6" t="s">
        <v>413</v>
      </c>
      <c r="B373" s="7">
        <v>46106.929930555554</v>
      </c>
      <c r="C373" s="6" t="s">
        <v>13</v>
      </c>
      <c r="D373" s="6" t="s">
        <v>1059</v>
      </c>
      <c r="E373" s="6" t="s">
        <v>27</v>
      </c>
      <c r="F373" s="10">
        <v>3325438</v>
      </c>
      <c r="G373" s="6">
        <v>4</v>
      </c>
      <c r="H373" s="6" t="s">
        <v>16</v>
      </c>
      <c r="I373" s="6" t="s">
        <v>17</v>
      </c>
      <c r="J373" s="6" t="s">
        <v>23</v>
      </c>
      <c r="K373" s="6" t="s">
        <v>24</v>
      </c>
      <c r="L373" s="6"/>
      <c r="M373" s="6" t="str">
        <f t="shared" si="5"/>
        <v>30L-50L</v>
      </c>
    </row>
    <row r="374" spans="1:13" x14ac:dyDescent="0.25">
      <c r="A374" s="6" t="s">
        <v>414</v>
      </c>
      <c r="B374" s="7">
        <v>46107.156157407408</v>
      </c>
      <c r="C374" s="6" t="s">
        <v>13</v>
      </c>
      <c r="D374" s="6" t="s">
        <v>1063</v>
      </c>
      <c r="E374" s="6" t="s">
        <v>22</v>
      </c>
      <c r="F374" s="10">
        <v>8254029</v>
      </c>
      <c r="G374" s="6">
        <v>4</v>
      </c>
      <c r="H374" s="6" t="s">
        <v>16</v>
      </c>
      <c r="I374" s="6" t="s">
        <v>17</v>
      </c>
      <c r="J374" s="6" t="s">
        <v>23</v>
      </c>
      <c r="K374" s="6" t="s">
        <v>24</v>
      </c>
      <c r="L374" s="6"/>
      <c r="M374" s="6" t="str">
        <f t="shared" si="5"/>
        <v>80L-1.2Cr</v>
      </c>
    </row>
    <row r="375" spans="1:13" x14ac:dyDescent="0.25">
      <c r="A375" s="6" t="s">
        <v>415</v>
      </c>
      <c r="B375" s="7">
        <v>46107.382384259261</v>
      </c>
      <c r="C375" s="6" t="s">
        <v>30</v>
      </c>
      <c r="D375" s="6" t="s">
        <v>1060</v>
      </c>
      <c r="E375" s="6" t="s">
        <v>15</v>
      </c>
      <c r="F375" s="10">
        <v>3872834</v>
      </c>
      <c r="G375" s="6">
        <v>4</v>
      </c>
      <c r="H375" s="6" t="s">
        <v>16</v>
      </c>
      <c r="I375" s="6" t="s">
        <v>17</v>
      </c>
      <c r="J375" s="6" t="s">
        <v>17</v>
      </c>
      <c r="K375" s="6" t="s">
        <v>24</v>
      </c>
      <c r="L375" s="6"/>
      <c r="M375" s="6" t="str">
        <f t="shared" si="5"/>
        <v>30L-50L</v>
      </c>
    </row>
    <row r="376" spans="1:13" x14ac:dyDescent="0.25">
      <c r="A376" s="6" t="s">
        <v>416</v>
      </c>
      <c r="B376" s="7">
        <v>46107.608611111114</v>
      </c>
      <c r="C376" s="6" t="s">
        <v>13</v>
      </c>
      <c r="D376" s="6" t="s">
        <v>1059</v>
      </c>
      <c r="E376" s="6" t="s">
        <v>22</v>
      </c>
      <c r="F376" s="10">
        <v>12619697</v>
      </c>
      <c r="G376" s="6">
        <v>1</v>
      </c>
      <c r="H376" s="6" t="s">
        <v>37</v>
      </c>
      <c r="I376" s="6" t="s">
        <v>23</v>
      </c>
      <c r="J376" s="6" t="s">
        <v>23</v>
      </c>
      <c r="K376" s="6" t="s">
        <v>28</v>
      </c>
      <c r="L376" s="6"/>
      <c r="M376" s="6" t="str">
        <f t="shared" si="5"/>
        <v>Above 1.2Cr</v>
      </c>
    </row>
    <row r="377" spans="1:13" x14ac:dyDescent="0.25">
      <c r="A377" s="6" t="s">
        <v>417</v>
      </c>
      <c r="B377" s="7">
        <v>46107.834837962961</v>
      </c>
      <c r="C377" s="6" t="s">
        <v>26</v>
      </c>
      <c r="D377" s="6" t="s">
        <v>1061</v>
      </c>
      <c r="E377" s="6" t="s">
        <v>15</v>
      </c>
      <c r="F377" s="10">
        <v>4620063</v>
      </c>
      <c r="G377" s="6">
        <v>1</v>
      </c>
      <c r="H377" s="6" t="s">
        <v>16</v>
      </c>
      <c r="I377" s="6" t="s">
        <v>23</v>
      </c>
      <c r="J377" s="6" t="s">
        <v>23</v>
      </c>
      <c r="K377" s="6" t="s">
        <v>18</v>
      </c>
      <c r="L377" s="6">
        <v>4800000</v>
      </c>
      <c r="M377" s="6" t="str">
        <f t="shared" si="5"/>
        <v>30L-50L</v>
      </c>
    </row>
    <row r="378" spans="1:13" x14ac:dyDescent="0.25">
      <c r="A378" s="6" t="s">
        <v>418</v>
      </c>
      <c r="B378" s="7">
        <v>46108.061064814814</v>
      </c>
      <c r="C378" s="6" t="s">
        <v>36</v>
      </c>
      <c r="D378" s="6" t="s">
        <v>1060</v>
      </c>
      <c r="E378" s="6" t="s">
        <v>15</v>
      </c>
      <c r="F378" s="10">
        <v>4032499</v>
      </c>
      <c r="G378" s="6">
        <v>2</v>
      </c>
      <c r="H378" s="6" t="s">
        <v>37</v>
      </c>
      <c r="I378" s="6" t="s">
        <v>23</v>
      </c>
      <c r="J378" s="6" t="s">
        <v>23</v>
      </c>
      <c r="K378" s="6" t="s">
        <v>28</v>
      </c>
      <c r="L378" s="6"/>
      <c r="M378" s="6" t="str">
        <f t="shared" si="5"/>
        <v>30L-50L</v>
      </c>
    </row>
    <row r="379" spans="1:13" x14ac:dyDescent="0.25">
      <c r="A379" s="6" t="s">
        <v>419</v>
      </c>
      <c r="B379" s="7">
        <v>46108.287291666667</v>
      </c>
      <c r="C379" s="6" t="s">
        <v>13</v>
      </c>
      <c r="D379" s="6" t="s">
        <v>1060</v>
      </c>
      <c r="E379" s="6" t="s">
        <v>22</v>
      </c>
      <c r="F379" s="10">
        <v>11840201</v>
      </c>
      <c r="G379" s="6">
        <v>3</v>
      </c>
      <c r="H379" s="6" t="s">
        <v>37</v>
      </c>
      <c r="I379" s="6" t="s">
        <v>17</v>
      </c>
      <c r="J379" s="6" t="s">
        <v>23</v>
      </c>
      <c r="K379" s="6" t="s">
        <v>24</v>
      </c>
      <c r="L379" s="6"/>
      <c r="M379" s="6" t="str">
        <f t="shared" si="5"/>
        <v>80L-1.2Cr</v>
      </c>
    </row>
    <row r="380" spans="1:13" x14ac:dyDescent="0.25">
      <c r="A380" s="6" t="s">
        <v>420</v>
      </c>
      <c r="B380" s="7">
        <v>46108.513518518521</v>
      </c>
      <c r="C380" s="6" t="s">
        <v>36</v>
      </c>
      <c r="D380" s="6" t="s">
        <v>21</v>
      </c>
      <c r="E380" s="6" t="s">
        <v>15</v>
      </c>
      <c r="F380" s="10">
        <v>3234196</v>
      </c>
      <c r="G380" s="6">
        <v>4</v>
      </c>
      <c r="H380" s="6" t="s">
        <v>16</v>
      </c>
      <c r="I380" s="6" t="s">
        <v>23</v>
      </c>
      <c r="J380" s="6" t="s">
        <v>23</v>
      </c>
      <c r="K380" s="6" t="s">
        <v>28</v>
      </c>
      <c r="L380" s="6"/>
      <c r="M380" s="6" t="str">
        <f t="shared" si="5"/>
        <v>30L-50L</v>
      </c>
    </row>
    <row r="381" spans="1:13" x14ac:dyDescent="0.25">
      <c r="A381" s="6" t="s">
        <v>421</v>
      </c>
      <c r="B381" s="7">
        <v>46108.739745370367</v>
      </c>
      <c r="C381" s="6" t="s">
        <v>26</v>
      </c>
      <c r="D381" s="6" t="s">
        <v>1060</v>
      </c>
      <c r="E381" s="6" t="s">
        <v>22</v>
      </c>
      <c r="F381" s="10">
        <v>16477311</v>
      </c>
      <c r="G381" s="6">
        <v>4</v>
      </c>
      <c r="H381" s="6" t="s">
        <v>16</v>
      </c>
      <c r="I381" s="6" t="s">
        <v>17</v>
      </c>
      <c r="J381" s="6" t="s">
        <v>23</v>
      </c>
      <c r="K381" s="6" t="s">
        <v>24</v>
      </c>
      <c r="L381" s="6"/>
      <c r="M381" s="6" t="str">
        <f t="shared" si="5"/>
        <v>Above 1.2Cr</v>
      </c>
    </row>
    <row r="382" spans="1:13" x14ac:dyDescent="0.25">
      <c r="A382" s="6" t="s">
        <v>422</v>
      </c>
      <c r="B382" s="7">
        <v>46108.965960648151</v>
      </c>
      <c r="C382" s="6" t="s">
        <v>13</v>
      </c>
      <c r="D382" s="6" t="s">
        <v>1059</v>
      </c>
      <c r="E382" s="6" t="s">
        <v>27</v>
      </c>
      <c r="F382" s="10">
        <v>2209132</v>
      </c>
      <c r="G382" s="6">
        <v>4</v>
      </c>
      <c r="H382" s="6" t="s">
        <v>16</v>
      </c>
      <c r="I382" s="6" t="s">
        <v>23</v>
      </c>
      <c r="J382" s="6" t="s">
        <v>23</v>
      </c>
      <c r="K382" s="6" t="s">
        <v>28</v>
      </c>
      <c r="L382" s="6"/>
      <c r="M382" s="6" t="str">
        <f t="shared" si="5"/>
        <v>Below 30L</v>
      </c>
    </row>
    <row r="383" spans="1:13" x14ac:dyDescent="0.25">
      <c r="A383" s="6" t="s">
        <v>423</v>
      </c>
      <c r="B383" s="7">
        <v>46109.192187499997</v>
      </c>
      <c r="C383" s="6" t="s">
        <v>30</v>
      </c>
      <c r="D383" s="6" t="s">
        <v>21</v>
      </c>
      <c r="E383" s="6" t="s">
        <v>27</v>
      </c>
      <c r="F383" s="10">
        <v>3789418</v>
      </c>
      <c r="G383" s="6">
        <v>5</v>
      </c>
      <c r="H383" s="6" t="s">
        <v>16</v>
      </c>
      <c r="I383" s="6" t="s">
        <v>17</v>
      </c>
      <c r="J383" s="6" t="s">
        <v>23</v>
      </c>
      <c r="K383" s="6" t="s">
        <v>24</v>
      </c>
      <c r="L383" s="6"/>
      <c r="M383" s="6" t="str">
        <f t="shared" si="5"/>
        <v>30L-50L</v>
      </c>
    </row>
    <row r="384" spans="1:13" x14ac:dyDescent="0.25">
      <c r="A384" s="6" t="s">
        <v>424</v>
      </c>
      <c r="B384" s="7">
        <v>46109.418414351851</v>
      </c>
      <c r="C384" s="6" t="s">
        <v>30</v>
      </c>
      <c r="D384" s="6" t="s">
        <v>1061</v>
      </c>
      <c r="E384" s="6" t="s">
        <v>27</v>
      </c>
      <c r="F384" s="10">
        <v>4614100</v>
      </c>
      <c r="G384" s="6">
        <v>4</v>
      </c>
      <c r="H384" s="6" t="s">
        <v>16</v>
      </c>
      <c r="I384" s="6" t="s">
        <v>23</v>
      </c>
      <c r="J384" s="6" t="s">
        <v>23</v>
      </c>
      <c r="K384" s="6" t="s">
        <v>28</v>
      </c>
      <c r="L384" s="6"/>
      <c r="M384" s="6" t="str">
        <f t="shared" si="5"/>
        <v>30L-50L</v>
      </c>
    </row>
    <row r="385" spans="1:13" x14ac:dyDescent="0.25">
      <c r="A385" s="6" t="s">
        <v>425</v>
      </c>
      <c r="B385" s="7">
        <v>46109.644641203704</v>
      </c>
      <c r="C385" s="6" t="s">
        <v>36</v>
      </c>
      <c r="D385" s="6" t="s">
        <v>1059</v>
      </c>
      <c r="E385" s="6" t="s">
        <v>15</v>
      </c>
      <c r="F385" s="10">
        <v>3524624</v>
      </c>
      <c r="G385" s="6">
        <v>2</v>
      </c>
      <c r="H385" s="6" t="s">
        <v>16</v>
      </c>
      <c r="I385" s="6" t="s">
        <v>17</v>
      </c>
      <c r="J385" s="6" t="s">
        <v>17</v>
      </c>
      <c r="K385" s="6" t="s">
        <v>24</v>
      </c>
      <c r="L385" s="6"/>
      <c r="M385" s="6" t="str">
        <f t="shared" si="5"/>
        <v>30L-50L</v>
      </c>
    </row>
    <row r="386" spans="1:13" x14ac:dyDescent="0.25">
      <c r="A386" s="6" t="s">
        <v>426</v>
      </c>
      <c r="B386" s="7">
        <v>46109.870868055557</v>
      </c>
      <c r="C386" s="6" t="s">
        <v>36</v>
      </c>
      <c r="D386" s="6" t="s">
        <v>1062</v>
      </c>
      <c r="E386" s="6" t="s">
        <v>15</v>
      </c>
      <c r="F386" s="10">
        <v>4356256</v>
      </c>
      <c r="G386" s="6">
        <v>2</v>
      </c>
      <c r="H386" s="6" t="s">
        <v>37</v>
      </c>
      <c r="I386" s="6" t="s">
        <v>23</v>
      </c>
      <c r="J386" s="6" t="s">
        <v>23</v>
      </c>
      <c r="K386" s="6" t="s">
        <v>28</v>
      </c>
      <c r="L386" s="6"/>
      <c r="M386" s="6" t="str">
        <f t="shared" ref="M386:M449" si="6">IF(F386&lt;3000000,"Below 30L",IF(F386&lt;5000000,"30L-50L",IF(F386&lt;8000000,"50L-80L",IF(F386&lt;12000000,"80L-1.2Cr","Above 1.2Cr"))))</f>
        <v>30L-50L</v>
      </c>
    </row>
    <row r="387" spans="1:13" x14ac:dyDescent="0.25">
      <c r="A387" s="6" t="s">
        <v>427</v>
      </c>
      <c r="B387" s="7">
        <v>46110.097094907411</v>
      </c>
      <c r="C387" s="6" t="s">
        <v>36</v>
      </c>
      <c r="D387" s="6" t="s">
        <v>21</v>
      </c>
      <c r="E387" s="6" t="s">
        <v>22</v>
      </c>
      <c r="F387" s="10">
        <v>9730797</v>
      </c>
      <c r="G387" s="6">
        <v>3</v>
      </c>
      <c r="H387" s="6" t="s">
        <v>37</v>
      </c>
      <c r="I387" s="6" t="s">
        <v>23</v>
      </c>
      <c r="J387" s="6" t="s">
        <v>23</v>
      </c>
      <c r="K387" s="6" t="s">
        <v>18</v>
      </c>
      <c r="L387" s="6">
        <v>9350000</v>
      </c>
      <c r="M387" s="6" t="str">
        <f t="shared" si="6"/>
        <v>80L-1.2Cr</v>
      </c>
    </row>
    <row r="388" spans="1:13" x14ac:dyDescent="0.25">
      <c r="A388" s="6" t="s">
        <v>428</v>
      </c>
      <c r="B388" s="7">
        <v>46110.323321759257</v>
      </c>
      <c r="C388" s="6" t="s">
        <v>26</v>
      </c>
      <c r="D388" s="6" t="s">
        <v>1063</v>
      </c>
      <c r="E388" s="6" t="s">
        <v>15</v>
      </c>
      <c r="F388" s="10">
        <v>4248313</v>
      </c>
      <c r="G388" s="6">
        <v>1</v>
      </c>
      <c r="H388" s="6" t="s">
        <v>37</v>
      </c>
      <c r="I388" s="6" t="s">
        <v>23</v>
      </c>
      <c r="J388" s="6" t="s">
        <v>23</v>
      </c>
      <c r="K388" s="6" t="s">
        <v>18</v>
      </c>
      <c r="L388" s="6">
        <v>3950000</v>
      </c>
      <c r="M388" s="6" t="str">
        <f t="shared" si="6"/>
        <v>30L-50L</v>
      </c>
    </row>
    <row r="389" spans="1:13" x14ac:dyDescent="0.25">
      <c r="A389" s="6" t="s">
        <v>429</v>
      </c>
      <c r="B389" s="7">
        <v>46110.54954861111</v>
      </c>
      <c r="C389" s="6" t="s">
        <v>13</v>
      </c>
      <c r="D389" s="6" t="s">
        <v>1059</v>
      </c>
      <c r="E389" s="6" t="s">
        <v>22</v>
      </c>
      <c r="F389" s="10">
        <v>7119962</v>
      </c>
      <c r="G389" s="6">
        <v>1</v>
      </c>
      <c r="H389" s="6" t="s">
        <v>16</v>
      </c>
      <c r="I389" s="6" t="s">
        <v>17</v>
      </c>
      <c r="J389" s="6" t="s">
        <v>23</v>
      </c>
      <c r="K389" s="6" t="s">
        <v>24</v>
      </c>
      <c r="L389" s="6"/>
      <c r="M389" s="6" t="str">
        <f t="shared" si="6"/>
        <v>50L-80L</v>
      </c>
    </row>
    <row r="390" spans="1:13" x14ac:dyDescent="0.25">
      <c r="A390" s="6" t="s">
        <v>430</v>
      </c>
      <c r="B390" s="7">
        <v>46110.775775462964</v>
      </c>
      <c r="C390" s="6" t="s">
        <v>36</v>
      </c>
      <c r="D390" s="6" t="s">
        <v>1061</v>
      </c>
      <c r="E390" s="6" t="s">
        <v>22</v>
      </c>
      <c r="F390" s="10">
        <v>7912493</v>
      </c>
      <c r="G390" s="6">
        <v>3</v>
      </c>
      <c r="H390" s="6" t="s">
        <v>16</v>
      </c>
      <c r="I390" s="6" t="s">
        <v>23</v>
      </c>
      <c r="J390" s="6" t="s">
        <v>23</v>
      </c>
      <c r="K390" s="6" t="s">
        <v>28</v>
      </c>
      <c r="L390" s="6"/>
      <c r="M390" s="6" t="str">
        <f t="shared" si="6"/>
        <v>50L-80L</v>
      </c>
    </row>
    <row r="391" spans="1:13" x14ac:dyDescent="0.25">
      <c r="A391" s="6" t="s">
        <v>431</v>
      </c>
      <c r="B391" s="7">
        <v>46111.002002314817</v>
      </c>
      <c r="C391" s="6" t="s">
        <v>36</v>
      </c>
      <c r="D391" s="6" t="s">
        <v>1060</v>
      </c>
      <c r="E391" s="6" t="s">
        <v>22</v>
      </c>
      <c r="F391" s="10">
        <v>11482203</v>
      </c>
      <c r="G391" s="6">
        <v>4</v>
      </c>
      <c r="H391" s="6" t="s">
        <v>16</v>
      </c>
      <c r="I391" s="6" t="s">
        <v>17</v>
      </c>
      <c r="J391" s="6" t="s">
        <v>17</v>
      </c>
      <c r="K391" s="6" t="s">
        <v>24</v>
      </c>
      <c r="L391" s="6"/>
      <c r="M391" s="6" t="str">
        <f t="shared" si="6"/>
        <v>80L-1.2Cr</v>
      </c>
    </row>
    <row r="392" spans="1:13" x14ac:dyDescent="0.25">
      <c r="A392" s="6" t="s">
        <v>432</v>
      </c>
      <c r="B392" s="7">
        <v>46111.228229166663</v>
      </c>
      <c r="C392" s="6" t="s">
        <v>33</v>
      </c>
      <c r="D392" s="6" t="s">
        <v>1059</v>
      </c>
      <c r="E392" s="6" t="s">
        <v>15</v>
      </c>
      <c r="F392" s="10">
        <v>3993978</v>
      </c>
      <c r="G392" s="6">
        <v>1</v>
      </c>
      <c r="H392" s="6" t="s">
        <v>16</v>
      </c>
      <c r="I392" s="6" t="s">
        <v>17</v>
      </c>
      <c r="J392" s="6" t="s">
        <v>17</v>
      </c>
      <c r="K392" s="6" t="s">
        <v>18</v>
      </c>
      <c r="L392" s="6">
        <v>4200000</v>
      </c>
      <c r="M392" s="6" t="str">
        <f t="shared" si="6"/>
        <v>30L-50L</v>
      </c>
    </row>
    <row r="393" spans="1:13" x14ac:dyDescent="0.25">
      <c r="A393" s="6" t="s">
        <v>433</v>
      </c>
      <c r="B393" s="7">
        <v>46111.454456018517</v>
      </c>
      <c r="C393" s="6" t="s">
        <v>20</v>
      </c>
      <c r="D393" s="6" t="s">
        <v>1059</v>
      </c>
      <c r="E393" s="6" t="s">
        <v>15</v>
      </c>
      <c r="F393" s="10">
        <v>4876037</v>
      </c>
      <c r="G393" s="6">
        <v>4</v>
      </c>
      <c r="H393" s="6" t="s">
        <v>16</v>
      </c>
      <c r="I393" s="6" t="s">
        <v>17</v>
      </c>
      <c r="J393" s="6" t="s">
        <v>17</v>
      </c>
      <c r="K393" s="6" t="s">
        <v>18</v>
      </c>
      <c r="L393" s="6">
        <v>4650000</v>
      </c>
      <c r="M393" s="6" t="str">
        <f t="shared" si="6"/>
        <v>30L-50L</v>
      </c>
    </row>
    <row r="394" spans="1:13" x14ac:dyDescent="0.25">
      <c r="A394" s="6" t="s">
        <v>434</v>
      </c>
      <c r="B394" s="7">
        <v>46111.68068287037</v>
      </c>
      <c r="C394" s="6" t="s">
        <v>26</v>
      </c>
      <c r="D394" s="6" t="s">
        <v>1059</v>
      </c>
      <c r="E394" s="6" t="s">
        <v>15</v>
      </c>
      <c r="F394" s="10">
        <v>5881849</v>
      </c>
      <c r="G394" s="6">
        <v>4</v>
      </c>
      <c r="H394" s="6" t="s">
        <v>37</v>
      </c>
      <c r="I394" s="6" t="s">
        <v>23</v>
      </c>
      <c r="J394" s="6" t="s">
        <v>23</v>
      </c>
      <c r="K394" s="6" t="s">
        <v>28</v>
      </c>
      <c r="L394" s="6"/>
      <c r="M394" s="6" t="str">
        <f t="shared" si="6"/>
        <v>50L-80L</v>
      </c>
    </row>
    <row r="395" spans="1:13" x14ac:dyDescent="0.25">
      <c r="A395" s="6" t="s">
        <v>435</v>
      </c>
      <c r="B395" s="7">
        <v>46111.906909722224</v>
      </c>
      <c r="C395" s="6" t="s">
        <v>36</v>
      </c>
      <c r="D395" s="6" t="s">
        <v>1060</v>
      </c>
      <c r="E395" s="6" t="s">
        <v>15</v>
      </c>
      <c r="F395" s="10">
        <v>4582807</v>
      </c>
      <c r="G395" s="6">
        <v>2</v>
      </c>
      <c r="H395" s="6" t="s">
        <v>37</v>
      </c>
      <c r="I395" s="6" t="s">
        <v>23</v>
      </c>
      <c r="J395" s="6" t="s">
        <v>23</v>
      </c>
      <c r="K395" s="6" t="s">
        <v>28</v>
      </c>
      <c r="L395" s="6"/>
      <c r="M395" s="6" t="str">
        <f t="shared" si="6"/>
        <v>30L-50L</v>
      </c>
    </row>
    <row r="396" spans="1:13" x14ac:dyDescent="0.25">
      <c r="A396" s="6" t="s">
        <v>436</v>
      </c>
      <c r="B396" s="7">
        <v>46112.133136574077</v>
      </c>
      <c r="C396" s="6" t="s">
        <v>26</v>
      </c>
      <c r="D396" s="6" t="s">
        <v>21</v>
      </c>
      <c r="E396" s="6" t="s">
        <v>27</v>
      </c>
      <c r="F396" s="10">
        <v>4278674</v>
      </c>
      <c r="G396" s="6">
        <v>1</v>
      </c>
      <c r="H396" s="6" t="s">
        <v>37</v>
      </c>
      <c r="I396" s="6" t="s">
        <v>23</v>
      </c>
      <c r="J396" s="6" t="s">
        <v>23</v>
      </c>
      <c r="K396" s="6" t="s">
        <v>28</v>
      </c>
      <c r="L396" s="6"/>
      <c r="M396" s="6" t="str">
        <f t="shared" si="6"/>
        <v>30L-50L</v>
      </c>
    </row>
    <row r="397" spans="1:13" x14ac:dyDescent="0.25">
      <c r="A397" s="6" t="s">
        <v>437</v>
      </c>
      <c r="B397" s="7">
        <v>46112.359363425923</v>
      </c>
      <c r="C397" s="6" t="s">
        <v>33</v>
      </c>
      <c r="D397" s="6" t="s">
        <v>1063</v>
      </c>
      <c r="E397" s="6" t="s">
        <v>15</v>
      </c>
      <c r="F397" s="10">
        <v>4697479</v>
      </c>
      <c r="G397" s="6">
        <v>1</v>
      </c>
      <c r="H397" s="6" t="s">
        <v>16</v>
      </c>
      <c r="I397" s="6" t="s">
        <v>17</v>
      </c>
      <c r="J397" s="6" t="s">
        <v>17</v>
      </c>
      <c r="K397" s="6" t="s">
        <v>24</v>
      </c>
      <c r="L397" s="6"/>
      <c r="M397" s="6" t="str">
        <f t="shared" si="6"/>
        <v>30L-50L</v>
      </c>
    </row>
    <row r="398" spans="1:13" x14ac:dyDescent="0.25">
      <c r="A398" s="6" t="s">
        <v>438</v>
      </c>
      <c r="B398" s="7">
        <v>46112.585590277777</v>
      </c>
      <c r="C398" s="6" t="s">
        <v>36</v>
      </c>
      <c r="D398" s="6" t="s">
        <v>21</v>
      </c>
      <c r="E398" s="6" t="s">
        <v>15</v>
      </c>
      <c r="F398" s="10">
        <v>8238461</v>
      </c>
      <c r="G398" s="6">
        <v>4</v>
      </c>
      <c r="H398" s="6" t="s">
        <v>16</v>
      </c>
      <c r="I398" s="6" t="s">
        <v>23</v>
      </c>
      <c r="J398" s="6" t="s">
        <v>23</v>
      </c>
      <c r="K398" s="6" t="s">
        <v>28</v>
      </c>
      <c r="L398" s="6"/>
      <c r="M398" s="6" t="str">
        <f t="shared" si="6"/>
        <v>80L-1.2Cr</v>
      </c>
    </row>
    <row r="399" spans="1:13" x14ac:dyDescent="0.25">
      <c r="A399" s="6" t="s">
        <v>439</v>
      </c>
      <c r="B399" s="7">
        <v>46112.81181712963</v>
      </c>
      <c r="C399" s="6" t="s">
        <v>20</v>
      </c>
      <c r="D399" s="6" t="s">
        <v>1059</v>
      </c>
      <c r="E399" s="6" t="s">
        <v>15</v>
      </c>
      <c r="F399" s="10">
        <v>4937586</v>
      </c>
      <c r="G399" s="6">
        <v>4</v>
      </c>
      <c r="H399" s="6" t="s">
        <v>16</v>
      </c>
      <c r="I399" s="6" t="s">
        <v>23</v>
      </c>
      <c r="J399" s="6" t="s">
        <v>23</v>
      </c>
      <c r="K399" s="6" t="s">
        <v>28</v>
      </c>
      <c r="L399" s="6"/>
      <c r="M399" s="6" t="str">
        <f t="shared" si="6"/>
        <v>30L-50L</v>
      </c>
    </row>
    <row r="400" spans="1:13" x14ac:dyDescent="0.25">
      <c r="A400" s="6" t="s">
        <v>440</v>
      </c>
      <c r="B400" s="7">
        <v>46113.038032407407</v>
      </c>
      <c r="C400" s="6" t="s">
        <v>36</v>
      </c>
      <c r="D400" s="6" t="s">
        <v>1062</v>
      </c>
      <c r="E400" s="6" t="s">
        <v>22</v>
      </c>
      <c r="F400" s="10">
        <v>6817108</v>
      </c>
      <c r="G400" s="6">
        <v>5</v>
      </c>
      <c r="H400" s="6" t="s">
        <v>16</v>
      </c>
      <c r="I400" s="6" t="s">
        <v>23</v>
      </c>
      <c r="J400" s="6" t="s">
        <v>23</v>
      </c>
      <c r="K400" s="6" t="s">
        <v>28</v>
      </c>
      <c r="L400" s="6"/>
      <c r="M400" s="6" t="str">
        <f t="shared" si="6"/>
        <v>50L-80L</v>
      </c>
    </row>
    <row r="401" spans="1:13" x14ac:dyDescent="0.25">
      <c r="A401" s="6" t="s">
        <v>441</v>
      </c>
      <c r="B401" s="7">
        <v>46113.26425925926</v>
      </c>
      <c r="C401" s="6" t="s">
        <v>36</v>
      </c>
      <c r="D401" s="6" t="s">
        <v>1062</v>
      </c>
      <c r="E401" s="6" t="s">
        <v>22</v>
      </c>
      <c r="F401" s="10">
        <v>10779024</v>
      </c>
      <c r="G401" s="6">
        <v>3</v>
      </c>
      <c r="H401" s="6" t="s">
        <v>37</v>
      </c>
      <c r="I401" s="6" t="s">
        <v>23</v>
      </c>
      <c r="J401" s="6" t="s">
        <v>23</v>
      </c>
      <c r="K401" s="6" t="s">
        <v>28</v>
      </c>
      <c r="L401" s="6"/>
      <c r="M401" s="6" t="str">
        <f t="shared" si="6"/>
        <v>80L-1.2Cr</v>
      </c>
    </row>
    <row r="402" spans="1:13" x14ac:dyDescent="0.25">
      <c r="A402" s="6" t="s">
        <v>442</v>
      </c>
      <c r="B402" s="7">
        <v>46113.490486111114</v>
      </c>
      <c r="C402" s="6" t="s">
        <v>13</v>
      </c>
      <c r="D402" s="6" t="s">
        <v>1059</v>
      </c>
      <c r="E402" s="6" t="s">
        <v>15</v>
      </c>
      <c r="F402" s="10">
        <v>4403815</v>
      </c>
      <c r="G402" s="6">
        <v>1</v>
      </c>
      <c r="H402" s="6" t="s">
        <v>16</v>
      </c>
      <c r="I402" s="6" t="s">
        <v>23</v>
      </c>
      <c r="J402" s="6" t="s">
        <v>23</v>
      </c>
      <c r="K402" s="6" t="s">
        <v>28</v>
      </c>
      <c r="L402" s="6"/>
      <c r="M402" s="6" t="str">
        <f t="shared" si="6"/>
        <v>30L-50L</v>
      </c>
    </row>
    <row r="403" spans="1:13" x14ac:dyDescent="0.25">
      <c r="A403" s="6" t="s">
        <v>443</v>
      </c>
      <c r="B403" s="7">
        <v>46113.71671296296</v>
      </c>
      <c r="C403" s="6" t="s">
        <v>33</v>
      </c>
      <c r="D403" s="6" t="s">
        <v>1059</v>
      </c>
      <c r="E403" s="6" t="s">
        <v>15</v>
      </c>
      <c r="F403" s="10">
        <v>3475278</v>
      </c>
      <c r="G403" s="6">
        <v>1</v>
      </c>
      <c r="H403" s="6" t="s">
        <v>16</v>
      </c>
      <c r="I403" s="6" t="s">
        <v>17</v>
      </c>
      <c r="J403" s="6" t="s">
        <v>23</v>
      </c>
      <c r="K403" s="6" t="s">
        <v>24</v>
      </c>
      <c r="L403" s="6"/>
      <c r="M403" s="6" t="str">
        <f t="shared" si="6"/>
        <v>30L-50L</v>
      </c>
    </row>
    <row r="404" spans="1:13" x14ac:dyDescent="0.25">
      <c r="A404" s="6" t="s">
        <v>444</v>
      </c>
      <c r="B404" s="7">
        <v>46113.942939814813</v>
      </c>
      <c r="C404" s="6" t="s">
        <v>20</v>
      </c>
      <c r="D404" s="6" t="s">
        <v>1059</v>
      </c>
      <c r="E404" s="6" t="s">
        <v>15</v>
      </c>
      <c r="F404" s="10">
        <v>6879594</v>
      </c>
      <c r="G404" s="6">
        <v>4</v>
      </c>
      <c r="H404" s="6" t="s">
        <v>16</v>
      </c>
      <c r="I404" s="6" t="s">
        <v>17</v>
      </c>
      <c r="J404" s="6" t="s">
        <v>17</v>
      </c>
      <c r="K404" s="6" t="s">
        <v>24</v>
      </c>
      <c r="L404" s="6"/>
      <c r="M404" s="6" t="str">
        <f t="shared" si="6"/>
        <v>50L-80L</v>
      </c>
    </row>
    <row r="405" spans="1:13" x14ac:dyDescent="0.25">
      <c r="A405" s="6" t="s">
        <v>445</v>
      </c>
      <c r="B405" s="7">
        <v>46114.169166666667</v>
      </c>
      <c r="C405" s="6" t="s">
        <v>36</v>
      </c>
      <c r="D405" s="6" t="s">
        <v>1062</v>
      </c>
      <c r="E405" s="6" t="s">
        <v>15</v>
      </c>
      <c r="F405" s="10">
        <v>6020181</v>
      </c>
      <c r="G405" s="6">
        <v>1</v>
      </c>
      <c r="H405" s="6" t="s">
        <v>16</v>
      </c>
      <c r="I405" s="6" t="s">
        <v>17</v>
      </c>
      <c r="J405" s="6" t="s">
        <v>17</v>
      </c>
      <c r="K405" s="6" t="s">
        <v>18</v>
      </c>
      <c r="L405" s="6">
        <v>6200000</v>
      </c>
      <c r="M405" s="6" t="str">
        <f t="shared" si="6"/>
        <v>50L-80L</v>
      </c>
    </row>
    <row r="406" spans="1:13" x14ac:dyDescent="0.25">
      <c r="A406" s="6" t="s">
        <v>446</v>
      </c>
      <c r="B406" s="7">
        <v>46114.39539351852</v>
      </c>
      <c r="C406" s="6" t="s">
        <v>26</v>
      </c>
      <c r="D406" s="6" t="s">
        <v>1062</v>
      </c>
      <c r="E406" s="6" t="s">
        <v>22</v>
      </c>
      <c r="F406" s="10">
        <v>6646045</v>
      </c>
      <c r="G406" s="6">
        <v>2</v>
      </c>
      <c r="H406" s="6" t="s">
        <v>16</v>
      </c>
      <c r="I406" s="6" t="s">
        <v>17</v>
      </c>
      <c r="J406" s="6" t="s">
        <v>17</v>
      </c>
      <c r="K406" s="6" t="s">
        <v>18</v>
      </c>
      <c r="L406" s="6">
        <v>6250000</v>
      </c>
      <c r="M406" s="6" t="str">
        <f t="shared" si="6"/>
        <v>50L-80L</v>
      </c>
    </row>
    <row r="407" spans="1:13" x14ac:dyDescent="0.25">
      <c r="A407" s="6" t="s">
        <v>447</v>
      </c>
      <c r="B407" s="7">
        <v>46114.621620370373</v>
      </c>
      <c r="C407" s="6" t="s">
        <v>36</v>
      </c>
      <c r="D407" s="6" t="s">
        <v>1060</v>
      </c>
      <c r="E407" s="6" t="s">
        <v>22</v>
      </c>
      <c r="F407" s="10">
        <v>11414612</v>
      </c>
      <c r="G407" s="6">
        <v>2</v>
      </c>
      <c r="H407" s="6" t="s">
        <v>16</v>
      </c>
      <c r="I407" s="6" t="s">
        <v>23</v>
      </c>
      <c r="J407" s="6" t="s">
        <v>23</v>
      </c>
      <c r="K407" s="6" t="s">
        <v>28</v>
      </c>
      <c r="L407" s="6"/>
      <c r="M407" s="6" t="str">
        <f t="shared" si="6"/>
        <v>80L-1.2Cr</v>
      </c>
    </row>
    <row r="408" spans="1:13" x14ac:dyDescent="0.25">
      <c r="A408" s="6" t="s">
        <v>448</v>
      </c>
      <c r="B408" s="7">
        <v>46114.84784722222</v>
      </c>
      <c r="C408" s="6" t="s">
        <v>26</v>
      </c>
      <c r="D408" s="6" t="s">
        <v>1063</v>
      </c>
      <c r="E408" s="6" t="s">
        <v>15</v>
      </c>
      <c r="F408" s="10">
        <v>7808015</v>
      </c>
      <c r="G408" s="6">
        <v>1</v>
      </c>
      <c r="H408" s="6" t="s">
        <v>16</v>
      </c>
      <c r="I408" s="6" t="s">
        <v>17</v>
      </c>
      <c r="J408" s="6" t="s">
        <v>23</v>
      </c>
      <c r="K408" s="6" t="s">
        <v>24</v>
      </c>
      <c r="L408" s="6"/>
      <c r="M408" s="6" t="str">
        <f t="shared" si="6"/>
        <v>50L-80L</v>
      </c>
    </row>
    <row r="409" spans="1:13" x14ac:dyDescent="0.25">
      <c r="A409" s="6" t="s">
        <v>449</v>
      </c>
      <c r="B409" s="7">
        <v>46115.074074074073</v>
      </c>
      <c r="C409" s="6" t="s">
        <v>13</v>
      </c>
      <c r="D409" s="6" t="s">
        <v>1063</v>
      </c>
      <c r="E409" s="6" t="s">
        <v>15</v>
      </c>
      <c r="F409" s="10">
        <v>3297698</v>
      </c>
      <c r="G409" s="6">
        <v>1</v>
      </c>
      <c r="H409" s="6" t="s">
        <v>37</v>
      </c>
      <c r="I409" s="6" t="s">
        <v>23</v>
      </c>
      <c r="J409" s="6" t="s">
        <v>23</v>
      </c>
      <c r="K409" s="6" t="s">
        <v>28</v>
      </c>
      <c r="L409" s="6"/>
      <c r="M409" s="6" t="str">
        <f t="shared" si="6"/>
        <v>30L-50L</v>
      </c>
    </row>
    <row r="410" spans="1:13" x14ac:dyDescent="0.25">
      <c r="A410" s="6" t="s">
        <v>450</v>
      </c>
      <c r="B410" s="7">
        <v>46115.300300925926</v>
      </c>
      <c r="C410" s="6" t="s">
        <v>33</v>
      </c>
      <c r="D410" s="6" t="s">
        <v>1060</v>
      </c>
      <c r="E410" s="6" t="s">
        <v>27</v>
      </c>
      <c r="F410" s="10">
        <v>3724688</v>
      </c>
      <c r="G410" s="6">
        <v>2</v>
      </c>
      <c r="H410" s="6" t="s">
        <v>16</v>
      </c>
      <c r="I410" s="6" t="s">
        <v>23</v>
      </c>
      <c r="J410" s="6" t="s">
        <v>23</v>
      </c>
      <c r="K410" s="6" t="s">
        <v>28</v>
      </c>
      <c r="L410" s="6"/>
      <c r="M410" s="6" t="str">
        <f t="shared" si="6"/>
        <v>30L-50L</v>
      </c>
    </row>
    <row r="411" spans="1:13" x14ac:dyDescent="0.25">
      <c r="A411" s="6" t="s">
        <v>451</v>
      </c>
      <c r="B411" s="7">
        <v>46115.52652777778</v>
      </c>
      <c r="C411" s="6" t="s">
        <v>13</v>
      </c>
      <c r="D411" s="6" t="s">
        <v>1061</v>
      </c>
      <c r="E411" s="6" t="s">
        <v>15</v>
      </c>
      <c r="F411" s="10">
        <v>4279758</v>
      </c>
      <c r="G411" s="6">
        <v>2</v>
      </c>
      <c r="H411" s="6" t="s">
        <v>16</v>
      </c>
      <c r="I411" s="6" t="s">
        <v>23</v>
      </c>
      <c r="J411" s="6" t="s">
        <v>23</v>
      </c>
      <c r="K411" s="6" t="s">
        <v>18</v>
      </c>
      <c r="L411" s="6">
        <v>4350000</v>
      </c>
      <c r="M411" s="6" t="str">
        <f t="shared" si="6"/>
        <v>30L-50L</v>
      </c>
    </row>
    <row r="412" spans="1:13" x14ac:dyDescent="0.25">
      <c r="A412" s="6" t="s">
        <v>452</v>
      </c>
      <c r="B412" s="7">
        <v>46115.752754629626</v>
      </c>
      <c r="C412" s="6" t="s">
        <v>26</v>
      </c>
      <c r="D412" s="6" t="s">
        <v>1059</v>
      </c>
      <c r="E412" s="6" t="s">
        <v>22</v>
      </c>
      <c r="F412" s="10">
        <v>9637614</v>
      </c>
      <c r="G412" s="6">
        <v>1</v>
      </c>
      <c r="H412" s="6" t="s">
        <v>16</v>
      </c>
      <c r="I412" s="6" t="s">
        <v>17</v>
      </c>
      <c r="J412" s="6" t="s">
        <v>23</v>
      </c>
      <c r="K412" s="6" t="s">
        <v>24</v>
      </c>
      <c r="L412" s="6"/>
      <c r="M412" s="6" t="str">
        <f t="shared" si="6"/>
        <v>80L-1.2Cr</v>
      </c>
    </row>
    <row r="413" spans="1:13" x14ac:dyDescent="0.25">
      <c r="A413" s="6" t="s">
        <v>453</v>
      </c>
      <c r="B413" s="7">
        <v>46115.978981481479</v>
      </c>
      <c r="C413" s="6" t="s">
        <v>33</v>
      </c>
      <c r="D413" s="6" t="s">
        <v>1059</v>
      </c>
      <c r="E413" s="6" t="s">
        <v>15</v>
      </c>
      <c r="F413" s="10">
        <v>8615227</v>
      </c>
      <c r="G413" s="6">
        <v>4</v>
      </c>
      <c r="H413" s="6" t="s">
        <v>16</v>
      </c>
      <c r="I413" s="6" t="s">
        <v>17</v>
      </c>
      <c r="J413" s="6" t="s">
        <v>23</v>
      </c>
      <c r="K413" s="6" t="s">
        <v>24</v>
      </c>
      <c r="L413" s="6"/>
      <c r="M413" s="6" t="str">
        <f t="shared" si="6"/>
        <v>80L-1.2Cr</v>
      </c>
    </row>
    <row r="414" spans="1:13" x14ac:dyDescent="0.25">
      <c r="A414" s="6" t="s">
        <v>454</v>
      </c>
      <c r="B414" s="7">
        <v>46116.205208333333</v>
      </c>
      <c r="C414" s="6" t="s">
        <v>33</v>
      </c>
      <c r="D414" s="6" t="s">
        <v>1059</v>
      </c>
      <c r="E414" s="6" t="s">
        <v>15</v>
      </c>
      <c r="F414" s="10">
        <v>3756967</v>
      </c>
      <c r="G414" s="6">
        <v>4</v>
      </c>
      <c r="H414" s="6" t="s">
        <v>16</v>
      </c>
      <c r="I414" s="6" t="s">
        <v>23</v>
      </c>
      <c r="J414" s="6" t="s">
        <v>23</v>
      </c>
      <c r="K414" s="6" t="s">
        <v>28</v>
      </c>
      <c r="L414" s="6"/>
      <c r="M414" s="6" t="str">
        <f t="shared" si="6"/>
        <v>30L-50L</v>
      </c>
    </row>
    <row r="415" spans="1:13" x14ac:dyDescent="0.25">
      <c r="A415" s="6" t="s">
        <v>455</v>
      </c>
      <c r="B415" s="7">
        <v>46116.431435185186</v>
      </c>
      <c r="C415" s="6" t="s">
        <v>20</v>
      </c>
      <c r="D415" s="6" t="s">
        <v>1059</v>
      </c>
      <c r="E415" s="6" t="s">
        <v>15</v>
      </c>
      <c r="F415" s="10">
        <v>4208458</v>
      </c>
      <c r="G415" s="6">
        <v>2</v>
      </c>
      <c r="H415" s="6" t="s">
        <v>16</v>
      </c>
      <c r="I415" s="6" t="s">
        <v>17</v>
      </c>
      <c r="J415" s="6" t="s">
        <v>17</v>
      </c>
      <c r="K415" s="6" t="s">
        <v>24</v>
      </c>
      <c r="L415" s="6"/>
      <c r="M415" s="6" t="str">
        <f t="shared" si="6"/>
        <v>30L-50L</v>
      </c>
    </row>
    <row r="416" spans="1:13" x14ac:dyDescent="0.25">
      <c r="A416" s="6" t="s">
        <v>456</v>
      </c>
      <c r="B416" s="7">
        <v>46116.65766203704</v>
      </c>
      <c r="C416" s="6" t="s">
        <v>30</v>
      </c>
      <c r="D416" s="6" t="s">
        <v>1060</v>
      </c>
      <c r="E416" s="6" t="s">
        <v>15</v>
      </c>
      <c r="F416" s="10">
        <v>5137791</v>
      </c>
      <c r="G416" s="6">
        <v>4</v>
      </c>
      <c r="H416" s="6" t="s">
        <v>16</v>
      </c>
      <c r="I416" s="6" t="s">
        <v>17</v>
      </c>
      <c r="J416" s="6" t="s">
        <v>23</v>
      </c>
      <c r="K416" s="6" t="s">
        <v>24</v>
      </c>
      <c r="L416" s="6"/>
      <c r="M416" s="6" t="str">
        <f t="shared" si="6"/>
        <v>50L-80L</v>
      </c>
    </row>
    <row r="417" spans="1:13" x14ac:dyDescent="0.25">
      <c r="A417" s="6" t="s">
        <v>457</v>
      </c>
      <c r="B417" s="7">
        <v>46116.883888888886</v>
      </c>
      <c r="C417" s="6" t="s">
        <v>20</v>
      </c>
      <c r="D417" s="6" t="s">
        <v>1061</v>
      </c>
      <c r="E417" s="6" t="s">
        <v>27</v>
      </c>
      <c r="F417" s="10">
        <v>3502176</v>
      </c>
      <c r="G417" s="6">
        <v>2</v>
      </c>
      <c r="H417" s="6" t="s">
        <v>16</v>
      </c>
      <c r="I417" s="6" t="s">
        <v>17</v>
      </c>
      <c r="J417" s="6" t="s">
        <v>23</v>
      </c>
      <c r="K417" s="6" t="s">
        <v>24</v>
      </c>
      <c r="L417" s="6"/>
      <c r="M417" s="6" t="str">
        <f t="shared" si="6"/>
        <v>30L-50L</v>
      </c>
    </row>
    <row r="418" spans="1:13" x14ac:dyDescent="0.25">
      <c r="A418" s="6" t="s">
        <v>458</v>
      </c>
      <c r="B418" s="7">
        <v>46117.110115740739</v>
      </c>
      <c r="C418" s="6" t="s">
        <v>26</v>
      </c>
      <c r="D418" s="6" t="s">
        <v>1059</v>
      </c>
      <c r="E418" s="6" t="s">
        <v>15</v>
      </c>
      <c r="F418" s="10">
        <v>4706549</v>
      </c>
      <c r="G418" s="6">
        <v>3</v>
      </c>
      <c r="H418" s="6" t="s">
        <v>37</v>
      </c>
      <c r="I418" s="6" t="s">
        <v>23</v>
      </c>
      <c r="J418" s="6" t="s">
        <v>23</v>
      </c>
      <c r="K418" s="6" t="s">
        <v>28</v>
      </c>
      <c r="L418" s="6"/>
      <c r="M418" s="6" t="str">
        <f t="shared" si="6"/>
        <v>30L-50L</v>
      </c>
    </row>
    <row r="419" spans="1:13" x14ac:dyDescent="0.25">
      <c r="A419" s="6" t="s">
        <v>459</v>
      </c>
      <c r="B419" s="7">
        <v>46117.336331018516</v>
      </c>
      <c r="C419" s="6" t="s">
        <v>26</v>
      </c>
      <c r="D419" s="6" t="s">
        <v>1059</v>
      </c>
      <c r="E419" s="6" t="s">
        <v>15</v>
      </c>
      <c r="F419" s="10">
        <v>6363063</v>
      </c>
      <c r="G419" s="6">
        <v>5</v>
      </c>
      <c r="H419" s="6" t="s">
        <v>16</v>
      </c>
      <c r="I419" s="6" t="s">
        <v>23</v>
      </c>
      <c r="J419" s="6" t="s">
        <v>23</v>
      </c>
      <c r="K419" s="6" t="s">
        <v>28</v>
      </c>
      <c r="L419" s="6"/>
      <c r="M419" s="6" t="str">
        <f t="shared" si="6"/>
        <v>50L-80L</v>
      </c>
    </row>
    <row r="420" spans="1:13" x14ac:dyDescent="0.25">
      <c r="A420" s="6" t="s">
        <v>460</v>
      </c>
      <c r="B420" s="7">
        <v>46117.562557870369</v>
      </c>
      <c r="C420" s="6" t="s">
        <v>30</v>
      </c>
      <c r="D420" s="6" t="s">
        <v>1060</v>
      </c>
      <c r="E420" s="6" t="s">
        <v>15</v>
      </c>
      <c r="F420" s="10">
        <v>8229005</v>
      </c>
      <c r="G420" s="6">
        <v>4</v>
      </c>
      <c r="H420" s="6" t="s">
        <v>37</v>
      </c>
      <c r="I420" s="6" t="s">
        <v>17</v>
      </c>
      <c r="J420" s="6" t="s">
        <v>23</v>
      </c>
      <c r="K420" s="6" t="s">
        <v>24</v>
      </c>
      <c r="L420" s="6"/>
      <c r="M420" s="6" t="str">
        <f t="shared" si="6"/>
        <v>80L-1.2Cr</v>
      </c>
    </row>
    <row r="421" spans="1:13" x14ac:dyDescent="0.25">
      <c r="A421" s="6" t="s">
        <v>461</v>
      </c>
      <c r="B421" s="7">
        <v>46117.788784722223</v>
      </c>
      <c r="C421" s="6" t="s">
        <v>36</v>
      </c>
      <c r="D421" s="6" t="s">
        <v>1061</v>
      </c>
      <c r="E421" s="6" t="s">
        <v>15</v>
      </c>
      <c r="F421" s="10">
        <v>5881174</v>
      </c>
      <c r="G421" s="6">
        <v>4</v>
      </c>
      <c r="H421" s="6" t="s">
        <v>16</v>
      </c>
      <c r="I421" s="6" t="s">
        <v>17</v>
      </c>
      <c r="J421" s="6" t="s">
        <v>23</v>
      </c>
      <c r="K421" s="6" t="s">
        <v>24</v>
      </c>
      <c r="L421" s="6"/>
      <c r="M421" s="6" t="str">
        <f t="shared" si="6"/>
        <v>50L-80L</v>
      </c>
    </row>
    <row r="422" spans="1:13" x14ac:dyDescent="0.25">
      <c r="A422" s="6" t="s">
        <v>462</v>
      </c>
      <c r="B422" s="7">
        <v>46118.015011574076</v>
      </c>
      <c r="C422" s="6" t="s">
        <v>36</v>
      </c>
      <c r="D422" s="6" t="s">
        <v>21</v>
      </c>
      <c r="E422" s="6" t="s">
        <v>15</v>
      </c>
      <c r="F422" s="10">
        <v>3370608</v>
      </c>
      <c r="G422" s="6">
        <v>1</v>
      </c>
      <c r="H422" s="6" t="s">
        <v>16</v>
      </c>
      <c r="I422" s="6" t="s">
        <v>17</v>
      </c>
      <c r="J422" s="6" t="s">
        <v>17</v>
      </c>
      <c r="K422" s="6" t="s">
        <v>24</v>
      </c>
      <c r="L422" s="6"/>
      <c r="M422" s="6" t="str">
        <f t="shared" si="6"/>
        <v>30L-50L</v>
      </c>
    </row>
    <row r="423" spans="1:13" x14ac:dyDescent="0.25">
      <c r="A423" s="6" t="s">
        <v>463</v>
      </c>
      <c r="B423" s="7">
        <v>46118.241238425922</v>
      </c>
      <c r="C423" s="6" t="s">
        <v>36</v>
      </c>
      <c r="D423" s="6" t="s">
        <v>1060</v>
      </c>
      <c r="E423" s="6" t="s">
        <v>15</v>
      </c>
      <c r="F423" s="10">
        <v>3154455</v>
      </c>
      <c r="G423" s="6">
        <v>1</v>
      </c>
      <c r="H423" s="6" t="s">
        <v>16</v>
      </c>
      <c r="I423" s="6" t="s">
        <v>17</v>
      </c>
      <c r="J423" s="6" t="s">
        <v>23</v>
      </c>
      <c r="K423" s="6" t="s">
        <v>24</v>
      </c>
      <c r="L423" s="6"/>
      <c r="M423" s="6" t="str">
        <f t="shared" si="6"/>
        <v>30L-50L</v>
      </c>
    </row>
    <row r="424" spans="1:13" x14ac:dyDescent="0.25">
      <c r="A424" s="6" t="s">
        <v>464</v>
      </c>
      <c r="B424" s="7">
        <v>46118.467465277776</v>
      </c>
      <c r="C424" s="6" t="s">
        <v>13</v>
      </c>
      <c r="D424" s="6" t="s">
        <v>1059</v>
      </c>
      <c r="E424" s="6" t="s">
        <v>22</v>
      </c>
      <c r="F424" s="10">
        <v>8382962</v>
      </c>
      <c r="G424" s="6">
        <v>5</v>
      </c>
      <c r="H424" s="6" t="s">
        <v>16</v>
      </c>
      <c r="I424" s="6" t="s">
        <v>17</v>
      </c>
      <c r="J424" s="6" t="s">
        <v>23</v>
      </c>
      <c r="K424" s="6" t="s">
        <v>24</v>
      </c>
      <c r="L424" s="6"/>
      <c r="M424" s="6" t="str">
        <f t="shared" si="6"/>
        <v>80L-1.2Cr</v>
      </c>
    </row>
    <row r="425" spans="1:13" x14ac:dyDescent="0.25">
      <c r="A425" s="6" t="s">
        <v>465</v>
      </c>
      <c r="B425" s="7">
        <v>46118.693692129629</v>
      </c>
      <c r="C425" s="6" t="s">
        <v>20</v>
      </c>
      <c r="D425" s="6" t="s">
        <v>1059</v>
      </c>
      <c r="E425" s="6" t="s">
        <v>15</v>
      </c>
      <c r="F425" s="10">
        <v>3427858</v>
      </c>
      <c r="G425" s="6">
        <v>2</v>
      </c>
      <c r="H425" s="6" t="s">
        <v>37</v>
      </c>
      <c r="I425" s="6" t="s">
        <v>23</v>
      </c>
      <c r="J425" s="6" t="s">
        <v>23</v>
      </c>
      <c r="K425" s="6" t="s">
        <v>28</v>
      </c>
      <c r="L425" s="6"/>
      <c r="M425" s="6" t="str">
        <f t="shared" si="6"/>
        <v>30L-50L</v>
      </c>
    </row>
    <row r="426" spans="1:13" x14ac:dyDescent="0.25">
      <c r="A426" s="6" t="s">
        <v>466</v>
      </c>
      <c r="B426" s="7">
        <v>46118.919918981483</v>
      </c>
      <c r="C426" s="6" t="s">
        <v>13</v>
      </c>
      <c r="D426" s="6" t="s">
        <v>1061</v>
      </c>
      <c r="E426" s="6" t="s">
        <v>15</v>
      </c>
      <c r="F426" s="10">
        <v>5034523</v>
      </c>
      <c r="G426" s="6">
        <v>2</v>
      </c>
      <c r="H426" s="6" t="s">
        <v>37</v>
      </c>
      <c r="I426" s="6" t="s">
        <v>23</v>
      </c>
      <c r="J426" s="6" t="s">
        <v>23</v>
      </c>
      <c r="K426" s="6" t="s">
        <v>28</v>
      </c>
      <c r="L426" s="6"/>
      <c r="M426" s="6" t="str">
        <f t="shared" si="6"/>
        <v>50L-80L</v>
      </c>
    </row>
    <row r="427" spans="1:13" x14ac:dyDescent="0.25">
      <c r="A427" s="6" t="s">
        <v>467</v>
      </c>
      <c r="B427" s="7">
        <v>46119.146145833336</v>
      </c>
      <c r="C427" s="6" t="s">
        <v>20</v>
      </c>
      <c r="D427" s="6" t="s">
        <v>1061</v>
      </c>
      <c r="E427" s="6" t="s">
        <v>27</v>
      </c>
      <c r="F427" s="10">
        <v>4191059</v>
      </c>
      <c r="G427" s="6">
        <v>4</v>
      </c>
      <c r="H427" s="6" t="s">
        <v>37</v>
      </c>
      <c r="I427" s="6" t="s">
        <v>23</v>
      </c>
      <c r="J427" s="6" t="s">
        <v>23</v>
      </c>
      <c r="K427" s="6" t="s">
        <v>28</v>
      </c>
      <c r="L427" s="6"/>
      <c r="M427" s="6" t="str">
        <f t="shared" si="6"/>
        <v>30L-50L</v>
      </c>
    </row>
    <row r="428" spans="1:13" x14ac:dyDescent="0.25">
      <c r="A428" s="6" t="s">
        <v>468</v>
      </c>
      <c r="B428" s="7">
        <v>46119.372372685182</v>
      </c>
      <c r="C428" s="6" t="s">
        <v>20</v>
      </c>
      <c r="D428" s="6" t="s">
        <v>1059</v>
      </c>
      <c r="E428" s="6" t="s">
        <v>15</v>
      </c>
      <c r="F428" s="10">
        <v>4049627</v>
      </c>
      <c r="G428" s="6">
        <v>4</v>
      </c>
      <c r="H428" s="6" t="s">
        <v>37</v>
      </c>
      <c r="I428" s="6" t="s">
        <v>17</v>
      </c>
      <c r="J428" s="6" t="s">
        <v>23</v>
      </c>
      <c r="K428" s="6" t="s">
        <v>24</v>
      </c>
      <c r="L428" s="6"/>
      <c r="M428" s="6" t="str">
        <f t="shared" si="6"/>
        <v>30L-50L</v>
      </c>
    </row>
    <row r="429" spans="1:13" x14ac:dyDescent="0.25">
      <c r="A429" s="6" t="s">
        <v>469</v>
      </c>
      <c r="B429" s="7">
        <v>46119.598599537036</v>
      </c>
      <c r="C429" s="6" t="s">
        <v>36</v>
      </c>
      <c r="D429" s="6" t="s">
        <v>1061</v>
      </c>
      <c r="E429" s="6" t="s">
        <v>27</v>
      </c>
      <c r="F429" s="10">
        <v>4649783</v>
      </c>
      <c r="G429" s="6">
        <v>5</v>
      </c>
      <c r="H429" s="6" t="s">
        <v>16</v>
      </c>
      <c r="I429" s="6" t="s">
        <v>17</v>
      </c>
      <c r="J429" s="6" t="s">
        <v>23</v>
      </c>
      <c r="K429" s="6" t="s">
        <v>24</v>
      </c>
      <c r="L429" s="6"/>
      <c r="M429" s="6" t="str">
        <f t="shared" si="6"/>
        <v>30L-50L</v>
      </c>
    </row>
    <row r="430" spans="1:13" x14ac:dyDescent="0.25">
      <c r="A430" s="6" t="s">
        <v>470</v>
      </c>
      <c r="B430" s="7">
        <v>46119.824826388889</v>
      </c>
      <c r="C430" s="6" t="s">
        <v>26</v>
      </c>
      <c r="D430" s="6" t="s">
        <v>1062</v>
      </c>
      <c r="E430" s="6" t="s">
        <v>15</v>
      </c>
      <c r="F430" s="10">
        <v>5777508</v>
      </c>
      <c r="G430" s="6">
        <v>2</v>
      </c>
      <c r="H430" s="6" t="s">
        <v>16</v>
      </c>
      <c r="I430" s="6" t="s">
        <v>17</v>
      </c>
      <c r="J430" s="6" t="s">
        <v>17</v>
      </c>
      <c r="K430" s="6" t="s">
        <v>24</v>
      </c>
      <c r="L430" s="6"/>
      <c r="M430" s="6" t="str">
        <f t="shared" si="6"/>
        <v>50L-80L</v>
      </c>
    </row>
    <row r="431" spans="1:13" x14ac:dyDescent="0.25">
      <c r="A431" s="6" t="s">
        <v>471</v>
      </c>
      <c r="B431" s="7">
        <v>46120.051053240742</v>
      </c>
      <c r="C431" s="6" t="s">
        <v>13</v>
      </c>
      <c r="D431" s="6" t="s">
        <v>1061</v>
      </c>
      <c r="E431" s="6" t="s">
        <v>27</v>
      </c>
      <c r="F431" s="10">
        <v>2931728</v>
      </c>
      <c r="G431" s="6">
        <v>5</v>
      </c>
      <c r="H431" s="6" t="s">
        <v>16</v>
      </c>
      <c r="I431" s="6" t="s">
        <v>17</v>
      </c>
      <c r="J431" s="6" t="s">
        <v>23</v>
      </c>
      <c r="K431" s="6" t="s">
        <v>24</v>
      </c>
      <c r="L431" s="6"/>
      <c r="M431" s="6" t="str">
        <f t="shared" si="6"/>
        <v>Below 30L</v>
      </c>
    </row>
    <row r="432" spans="1:13" x14ac:dyDescent="0.25">
      <c r="A432" s="6" t="s">
        <v>472</v>
      </c>
      <c r="B432" s="7">
        <v>46120.277280092596</v>
      </c>
      <c r="C432" s="6" t="s">
        <v>13</v>
      </c>
      <c r="D432" s="6" t="s">
        <v>1060</v>
      </c>
      <c r="E432" s="6" t="s">
        <v>22</v>
      </c>
      <c r="F432" s="10">
        <v>8017337</v>
      </c>
      <c r="G432" s="6">
        <v>1</v>
      </c>
      <c r="H432" s="6" t="s">
        <v>1042</v>
      </c>
      <c r="I432" s="6" t="s">
        <v>17</v>
      </c>
      <c r="J432" s="6" t="s">
        <v>23</v>
      </c>
      <c r="K432" s="6" t="s">
        <v>24</v>
      </c>
      <c r="L432" s="6"/>
      <c r="M432" s="6" t="str">
        <f t="shared" si="6"/>
        <v>80L-1.2Cr</v>
      </c>
    </row>
    <row r="433" spans="1:13" x14ac:dyDescent="0.25">
      <c r="A433" s="6" t="s">
        <v>473</v>
      </c>
      <c r="B433" s="7">
        <v>46120.503506944442</v>
      </c>
      <c r="C433" s="6" t="s">
        <v>36</v>
      </c>
      <c r="D433" s="6" t="s">
        <v>1060</v>
      </c>
      <c r="E433" s="6" t="s">
        <v>27</v>
      </c>
      <c r="F433" s="10">
        <v>4629754</v>
      </c>
      <c r="G433" s="6">
        <v>1</v>
      </c>
      <c r="H433" s="6" t="s">
        <v>37</v>
      </c>
      <c r="I433" s="6" t="s">
        <v>17</v>
      </c>
      <c r="J433" s="6" t="s">
        <v>23</v>
      </c>
      <c r="K433" s="6" t="s">
        <v>24</v>
      </c>
      <c r="L433" s="6"/>
      <c r="M433" s="6" t="str">
        <f t="shared" si="6"/>
        <v>30L-50L</v>
      </c>
    </row>
    <row r="434" spans="1:13" x14ac:dyDescent="0.25">
      <c r="A434" s="6" t="s">
        <v>474</v>
      </c>
      <c r="B434" s="7">
        <v>46120.729733796295</v>
      </c>
      <c r="C434" s="6" t="s">
        <v>30</v>
      </c>
      <c r="D434" s="6" t="s">
        <v>1060</v>
      </c>
      <c r="E434" s="6" t="s">
        <v>27</v>
      </c>
      <c r="F434" s="10">
        <v>3822377</v>
      </c>
      <c r="G434" s="6">
        <v>3</v>
      </c>
      <c r="H434" s="6" t="s">
        <v>16</v>
      </c>
      <c r="I434" s="6" t="s">
        <v>17</v>
      </c>
      <c r="J434" s="6" t="s">
        <v>17</v>
      </c>
      <c r="K434" s="6" t="s">
        <v>24</v>
      </c>
      <c r="L434" s="6"/>
      <c r="M434" s="6" t="str">
        <f t="shared" si="6"/>
        <v>30L-50L</v>
      </c>
    </row>
    <row r="435" spans="1:13" x14ac:dyDescent="0.25">
      <c r="A435" s="6" t="s">
        <v>475</v>
      </c>
      <c r="B435" s="7">
        <v>46120.955960648149</v>
      </c>
      <c r="C435" s="6" t="s">
        <v>13</v>
      </c>
      <c r="D435" s="6" t="s">
        <v>1062</v>
      </c>
      <c r="E435" s="6" t="s">
        <v>15</v>
      </c>
      <c r="F435" s="10">
        <v>3420539</v>
      </c>
      <c r="G435" s="6">
        <v>1</v>
      </c>
      <c r="H435" s="6" t="s">
        <v>37</v>
      </c>
      <c r="I435" s="6" t="s">
        <v>23</v>
      </c>
      <c r="J435" s="6" t="s">
        <v>23</v>
      </c>
      <c r="K435" s="6" t="s">
        <v>28</v>
      </c>
      <c r="L435" s="6"/>
      <c r="M435" s="6" t="str">
        <f t="shared" si="6"/>
        <v>30L-50L</v>
      </c>
    </row>
    <row r="436" spans="1:13" x14ac:dyDescent="0.25">
      <c r="A436" s="6" t="s">
        <v>476</v>
      </c>
      <c r="B436" s="7">
        <v>46121.182187500002</v>
      </c>
      <c r="C436" s="6" t="s">
        <v>13</v>
      </c>
      <c r="D436" s="6" t="s">
        <v>1059</v>
      </c>
      <c r="E436" s="6" t="s">
        <v>27</v>
      </c>
      <c r="F436" s="10">
        <v>6529018</v>
      </c>
      <c r="G436" s="6">
        <v>2</v>
      </c>
      <c r="H436" s="6" t="s">
        <v>16</v>
      </c>
      <c r="I436" s="6" t="s">
        <v>23</v>
      </c>
      <c r="J436" s="6" t="s">
        <v>17</v>
      </c>
      <c r="K436" s="6" t="s">
        <v>18</v>
      </c>
      <c r="L436" s="6">
        <v>6450000</v>
      </c>
      <c r="M436" s="6" t="str">
        <f t="shared" si="6"/>
        <v>50L-80L</v>
      </c>
    </row>
    <row r="437" spans="1:13" x14ac:dyDescent="0.25">
      <c r="A437" s="6" t="s">
        <v>477</v>
      </c>
      <c r="B437" s="7">
        <v>46121.408402777779</v>
      </c>
      <c r="C437" s="6" t="s">
        <v>30</v>
      </c>
      <c r="D437" s="6" t="s">
        <v>1059</v>
      </c>
      <c r="E437" s="6" t="s">
        <v>15</v>
      </c>
      <c r="F437" s="10">
        <v>3710381</v>
      </c>
      <c r="G437" s="6">
        <v>3</v>
      </c>
      <c r="H437" s="6" t="s">
        <v>16</v>
      </c>
      <c r="I437" s="6" t="s">
        <v>17</v>
      </c>
      <c r="J437" s="6" t="s">
        <v>23</v>
      </c>
      <c r="K437" s="6" t="s">
        <v>24</v>
      </c>
      <c r="L437" s="6"/>
      <c r="M437" s="6" t="str">
        <f t="shared" si="6"/>
        <v>30L-50L</v>
      </c>
    </row>
    <row r="438" spans="1:13" x14ac:dyDescent="0.25">
      <c r="A438" s="6" t="s">
        <v>478</v>
      </c>
      <c r="B438" s="7">
        <v>46121.634629629632</v>
      </c>
      <c r="C438" s="6" t="s">
        <v>13</v>
      </c>
      <c r="D438" s="6" t="s">
        <v>21</v>
      </c>
      <c r="E438" s="6" t="s">
        <v>15</v>
      </c>
      <c r="F438" s="10">
        <v>4315712</v>
      </c>
      <c r="G438" s="6">
        <v>2</v>
      </c>
      <c r="H438" s="6" t="s">
        <v>16</v>
      </c>
      <c r="I438" s="6" t="s">
        <v>23</v>
      </c>
      <c r="J438" s="6" t="s">
        <v>23</v>
      </c>
      <c r="K438" s="6" t="s">
        <v>28</v>
      </c>
      <c r="L438" s="6"/>
      <c r="M438" s="6" t="str">
        <f t="shared" si="6"/>
        <v>30L-50L</v>
      </c>
    </row>
    <row r="439" spans="1:13" x14ac:dyDescent="0.25">
      <c r="A439" s="6" t="s">
        <v>479</v>
      </c>
      <c r="B439" s="7">
        <v>46121.860856481479</v>
      </c>
      <c r="C439" s="6" t="s">
        <v>36</v>
      </c>
      <c r="D439" s="6" t="s">
        <v>1062</v>
      </c>
      <c r="E439" s="6" t="s">
        <v>15</v>
      </c>
      <c r="F439" s="10">
        <v>3425767</v>
      </c>
      <c r="G439" s="6">
        <v>1</v>
      </c>
      <c r="H439" s="6" t="s">
        <v>37</v>
      </c>
      <c r="I439" s="6" t="s">
        <v>23</v>
      </c>
      <c r="J439" s="6" t="s">
        <v>23</v>
      </c>
      <c r="K439" s="6" t="s">
        <v>28</v>
      </c>
      <c r="L439" s="6"/>
      <c r="M439" s="6" t="str">
        <f t="shared" si="6"/>
        <v>30L-50L</v>
      </c>
    </row>
    <row r="440" spans="1:13" x14ac:dyDescent="0.25">
      <c r="A440" s="6" t="s">
        <v>480</v>
      </c>
      <c r="B440" s="7">
        <v>46122.087083333332</v>
      </c>
      <c r="C440" s="6" t="s">
        <v>30</v>
      </c>
      <c r="D440" s="6" t="s">
        <v>1059</v>
      </c>
      <c r="E440" s="6" t="s">
        <v>15</v>
      </c>
      <c r="F440" s="10">
        <v>5299688</v>
      </c>
      <c r="G440" s="6">
        <v>2</v>
      </c>
      <c r="H440" s="6" t="s">
        <v>37</v>
      </c>
      <c r="I440" s="6" t="s">
        <v>23</v>
      </c>
      <c r="J440" s="6" t="s">
        <v>23</v>
      </c>
      <c r="K440" s="6" t="s">
        <v>28</v>
      </c>
      <c r="L440" s="6"/>
      <c r="M440" s="6" t="str">
        <f t="shared" si="6"/>
        <v>50L-80L</v>
      </c>
    </row>
    <row r="441" spans="1:13" x14ac:dyDescent="0.25">
      <c r="A441" s="6" t="s">
        <v>481</v>
      </c>
      <c r="B441" s="7">
        <v>46122.313310185185</v>
      </c>
      <c r="C441" s="6" t="s">
        <v>13</v>
      </c>
      <c r="D441" s="6" t="s">
        <v>1062</v>
      </c>
      <c r="E441" s="6" t="s">
        <v>15</v>
      </c>
      <c r="F441" s="10">
        <v>7568966</v>
      </c>
      <c r="G441" s="6">
        <v>2</v>
      </c>
      <c r="H441" s="6" t="s">
        <v>16</v>
      </c>
      <c r="I441" s="6" t="s">
        <v>23</v>
      </c>
      <c r="J441" s="6" t="s">
        <v>17</v>
      </c>
      <c r="K441" s="6" t="s">
        <v>28</v>
      </c>
      <c r="L441" s="6"/>
      <c r="M441" s="6" t="str">
        <f t="shared" si="6"/>
        <v>50L-80L</v>
      </c>
    </row>
    <row r="442" spans="1:13" x14ac:dyDescent="0.25">
      <c r="A442" s="6" t="s">
        <v>482</v>
      </c>
      <c r="B442" s="7">
        <v>46122.539537037039</v>
      </c>
      <c r="C442" s="6" t="s">
        <v>13</v>
      </c>
      <c r="D442" s="6" t="s">
        <v>1061</v>
      </c>
      <c r="E442" s="6" t="s">
        <v>22</v>
      </c>
      <c r="F442" s="10">
        <v>8420872</v>
      </c>
      <c r="G442" s="6">
        <v>2</v>
      </c>
      <c r="H442" s="6" t="s">
        <v>16</v>
      </c>
      <c r="I442" s="6" t="s">
        <v>17</v>
      </c>
      <c r="J442" s="6" t="s">
        <v>23</v>
      </c>
      <c r="K442" s="6" t="s">
        <v>24</v>
      </c>
      <c r="L442" s="6"/>
      <c r="M442" s="6" t="str">
        <f t="shared" si="6"/>
        <v>80L-1.2Cr</v>
      </c>
    </row>
    <row r="443" spans="1:13" x14ac:dyDescent="0.25">
      <c r="A443" s="6" t="s">
        <v>483</v>
      </c>
      <c r="B443" s="7">
        <v>46122.765763888892</v>
      </c>
      <c r="C443" s="6" t="s">
        <v>33</v>
      </c>
      <c r="D443" s="6" t="s">
        <v>1059</v>
      </c>
      <c r="E443" s="6" t="s">
        <v>15</v>
      </c>
      <c r="F443" s="10">
        <v>3737463</v>
      </c>
      <c r="G443" s="6">
        <v>4</v>
      </c>
      <c r="H443" s="6" t="s">
        <v>16</v>
      </c>
      <c r="I443" s="6" t="s">
        <v>17</v>
      </c>
      <c r="J443" s="6" t="s">
        <v>23</v>
      </c>
      <c r="K443" s="6" t="s">
        <v>24</v>
      </c>
      <c r="L443" s="6"/>
      <c r="M443" s="6" t="str">
        <f t="shared" si="6"/>
        <v>30L-50L</v>
      </c>
    </row>
    <row r="444" spans="1:13" x14ac:dyDescent="0.25">
      <c r="A444" s="6" t="s">
        <v>484</v>
      </c>
      <c r="B444" s="7">
        <v>46122.991990740738</v>
      </c>
      <c r="C444" s="6" t="s">
        <v>26</v>
      </c>
      <c r="D444" s="6" t="s">
        <v>1062</v>
      </c>
      <c r="E444" s="6" t="s">
        <v>22</v>
      </c>
      <c r="F444" s="10">
        <v>8850680</v>
      </c>
      <c r="G444" s="6">
        <v>4</v>
      </c>
      <c r="H444" s="6" t="s">
        <v>16</v>
      </c>
      <c r="I444" s="6" t="s">
        <v>17</v>
      </c>
      <c r="J444" s="6" t="s">
        <v>23</v>
      </c>
      <c r="K444" s="6" t="s">
        <v>18</v>
      </c>
      <c r="L444" s="6">
        <v>9250000</v>
      </c>
      <c r="M444" s="6" t="str">
        <f t="shared" si="6"/>
        <v>80L-1.2Cr</v>
      </c>
    </row>
    <row r="445" spans="1:13" x14ac:dyDescent="0.25">
      <c r="A445" s="6" t="s">
        <v>485</v>
      </c>
      <c r="B445" s="7">
        <v>46123.218217592592</v>
      </c>
      <c r="C445" s="6" t="s">
        <v>26</v>
      </c>
      <c r="D445" s="6" t="s">
        <v>1060</v>
      </c>
      <c r="E445" s="6" t="s">
        <v>27</v>
      </c>
      <c r="F445" s="10">
        <v>1707596</v>
      </c>
      <c r="G445" s="6">
        <v>2</v>
      </c>
      <c r="H445" s="6" t="s">
        <v>16</v>
      </c>
      <c r="I445" s="6" t="s">
        <v>17</v>
      </c>
      <c r="J445" s="6" t="s">
        <v>23</v>
      </c>
      <c r="K445" s="6" t="s">
        <v>24</v>
      </c>
      <c r="L445" s="6"/>
      <c r="M445" s="6" t="str">
        <f t="shared" si="6"/>
        <v>Below 30L</v>
      </c>
    </row>
    <row r="446" spans="1:13" x14ac:dyDescent="0.25">
      <c r="A446" s="6" t="s">
        <v>486</v>
      </c>
      <c r="B446" s="7">
        <v>46123.444444444445</v>
      </c>
      <c r="C446" s="6" t="s">
        <v>36</v>
      </c>
      <c r="D446" s="6" t="s">
        <v>1061</v>
      </c>
      <c r="E446" s="6" t="s">
        <v>15</v>
      </c>
      <c r="F446" s="10">
        <v>3228129</v>
      </c>
      <c r="G446" s="6">
        <v>4</v>
      </c>
      <c r="H446" s="6" t="s">
        <v>16</v>
      </c>
      <c r="I446" s="6" t="s">
        <v>17</v>
      </c>
      <c r="J446" s="6" t="s">
        <v>23</v>
      </c>
      <c r="K446" s="6" t="s">
        <v>24</v>
      </c>
      <c r="L446" s="6"/>
      <c r="M446" s="6" t="str">
        <f t="shared" si="6"/>
        <v>30L-50L</v>
      </c>
    </row>
    <row r="447" spans="1:13" x14ac:dyDescent="0.25">
      <c r="A447" s="6" t="s">
        <v>487</v>
      </c>
      <c r="B447" s="7">
        <v>46123.670671296299</v>
      </c>
      <c r="C447" s="6" t="s">
        <v>33</v>
      </c>
      <c r="D447" s="6" t="s">
        <v>1059</v>
      </c>
      <c r="E447" s="6" t="s">
        <v>15</v>
      </c>
      <c r="F447" s="10">
        <v>3617367</v>
      </c>
      <c r="G447" s="6">
        <v>1</v>
      </c>
      <c r="H447" s="6" t="s">
        <v>16</v>
      </c>
      <c r="I447" s="6" t="s">
        <v>17</v>
      </c>
      <c r="J447" s="6" t="s">
        <v>17</v>
      </c>
      <c r="K447" s="6" t="s">
        <v>24</v>
      </c>
      <c r="L447" s="6"/>
      <c r="M447" s="6" t="str">
        <f t="shared" si="6"/>
        <v>30L-50L</v>
      </c>
    </row>
    <row r="448" spans="1:13" x14ac:dyDescent="0.25">
      <c r="A448" s="6" t="s">
        <v>488</v>
      </c>
      <c r="B448" s="7">
        <v>46123.896898148145</v>
      </c>
      <c r="C448" s="6" t="s">
        <v>33</v>
      </c>
      <c r="D448" s="6" t="s">
        <v>1062</v>
      </c>
      <c r="E448" s="6" t="s">
        <v>15</v>
      </c>
      <c r="F448" s="10">
        <v>5756426</v>
      </c>
      <c r="G448" s="6">
        <v>2</v>
      </c>
      <c r="H448" s="6" t="s">
        <v>16</v>
      </c>
      <c r="I448" s="6" t="s">
        <v>17</v>
      </c>
      <c r="J448" s="6" t="s">
        <v>23</v>
      </c>
      <c r="K448" s="6" t="s">
        <v>24</v>
      </c>
      <c r="L448" s="6"/>
      <c r="M448" s="6" t="str">
        <f t="shared" si="6"/>
        <v>50L-80L</v>
      </c>
    </row>
    <row r="449" spans="1:13" x14ac:dyDescent="0.25">
      <c r="A449" s="6" t="s">
        <v>489</v>
      </c>
      <c r="B449" s="7">
        <v>46124.123124999998</v>
      </c>
      <c r="C449" s="6" t="s">
        <v>36</v>
      </c>
      <c r="D449" s="6" t="s">
        <v>1063</v>
      </c>
      <c r="E449" s="6" t="s">
        <v>15</v>
      </c>
      <c r="F449" s="10">
        <v>6738484</v>
      </c>
      <c r="G449" s="6">
        <v>4</v>
      </c>
      <c r="H449" s="6" t="s">
        <v>16</v>
      </c>
      <c r="I449" s="6" t="s">
        <v>17</v>
      </c>
      <c r="J449" s="6" t="s">
        <v>23</v>
      </c>
      <c r="K449" s="6" t="s">
        <v>18</v>
      </c>
      <c r="L449" s="6">
        <v>6700000</v>
      </c>
      <c r="M449" s="6" t="str">
        <f t="shared" si="6"/>
        <v>50L-80L</v>
      </c>
    </row>
    <row r="450" spans="1:13" x14ac:dyDescent="0.25">
      <c r="A450" s="6" t="s">
        <v>490</v>
      </c>
      <c r="B450" s="7">
        <v>46124.349351851852</v>
      </c>
      <c r="C450" s="6" t="s">
        <v>26</v>
      </c>
      <c r="D450" s="6" t="s">
        <v>1061</v>
      </c>
      <c r="E450" s="6" t="s">
        <v>15</v>
      </c>
      <c r="F450" s="10">
        <v>5592618</v>
      </c>
      <c r="G450" s="6">
        <v>2</v>
      </c>
      <c r="H450" s="6" t="s">
        <v>37</v>
      </c>
      <c r="I450" s="6" t="s">
        <v>23</v>
      </c>
      <c r="J450" s="6" t="s">
        <v>23</v>
      </c>
      <c r="K450" s="6" t="s">
        <v>28</v>
      </c>
      <c r="L450" s="6"/>
      <c r="M450" s="6" t="str">
        <f t="shared" ref="M450:M513" si="7">IF(F450&lt;3000000,"Below 30L",IF(F450&lt;5000000,"30L-50L",IF(F450&lt;8000000,"50L-80L",IF(F450&lt;12000000,"80L-1.2Cr","Above 1.2Cr"))))</f>
        <v>50L-80L</v>
      </c>
    </row>
    <row r="451" spans="1:13" x14ac:dyDescent="0.25">
      <c r="A451" s="6" t="s">
        <v>491</v>
      </c>
      <c r="B451" s="7">
        <v>46124.575578703705</v>
      </c>
      <c r="C451" s="6" t="s">
        <v>13</v>
      </c>
      <c r="D451" s="6" t="s">
        <v>1062</v>
      </c>
      <c r="E451" s="6" t="s">
        <v>15</v>
      </c>
      <c r="F451" s="10">
        <v>4380503</v>
      </c>
      <c r="G451" s="6">
        <v>6</v>
      </c>
      <c r="H451" s="6" t="s">
        <v>16</v>
      </c>
      <c r="I451" s="6" t="s">
        <v>17</v>
      </c>
      <c r="J451" s="6" t="s">
        <v>23</v>
      </c>
      <c r="K451" s="6" t="s">
        <v>18</v>
      </c>
      <c r="L451" s="6">
        <v>4050000</v>
      </c>
      <c r="M451" s="6" t="str">
        <f t="shared" si="7"/>
        <v>30L-50L</v>
      </c>
    </row>
    <row r="452" spans="1:13" x14ac:dyDescent="0.25">
      <c r="A452" s="6" t="s">
        <v>492</v>
      </c>
      <c r="B452" s="7">
        <v>46124.801805555559</v>
      </c>
      <c r="C452" s="6" t="s">
        <v>36</v>
      </c>
      <c r="D452" s="6" t="s">
        <v>1060</v>
      </c>
      <c r="E452" s="6" t="s">
        <v>15</v>
      </c>
      <c r="F452" s="10">
        <v>5411290</v>
      </c>
      <c r="G452" s="6">
        <v>2</v>
      </c>
      <c r="H452" s="6" t="s">
        <v>16</v>
      </c>
      <c r="I452" s="6" t="s">
        <v>17</v>
      </c>
      <c r="J452" s="6" t="s">
        <v>17</v>
      </c>
      <c r="K452" s="6" t="s">
        <v>18</v>
      </c>
      <c r="L452" s="6">
        <v>5400000</v>
      </c>
      <c r="M452" s="6" t="str">
        <f t="shared" si="7"/>
        <v>50L-80L</v>
      </c>
    </row>
    <row r="453" spans="1:13" x14ac:dyDescent="0.25">
      <c r="A453" s="6" t="s">
        <v>493</v>
      </c>
      <c r="B453" s="7">
        <v>46125.028032407405</v>
      </c>
      <c r="C453" s="6" t="s">
        <v>20</v>
      </c>
      <c r="D453" s="6" t="s">
        <v>1062</v>
      </c>
      <c r="E453" s="6" t="s">
        <v>27</v>
      </c>
      <c r="F453" s="10">
        <v>5113777</v>
      </c>
      <c r="G453" s="6">
        <v>4</v>
      </c>
      <c r="H453" s="6" t="s">
        <v>16</v>
      </c>
      <c r="I453" s="6" t="s">
        <v>23</v>
      </c>
      <c r="J453" s="6" t="s">
        <v>23</v>
      </c>
      <c r="K453" s="6" t="s">
        <v>28</v>
      </c>
      <c r="L453" s="6"/>
      <c r="M453" s="6" t="str">
        <f t="shared" si="7"/>
        <v>50L-80L</v>
      </c>
    </row>
    <row r="454" spans="1:13" x14ac:dyDescent="0.25">
      <c r="A454" s="6" t="s">
        <v>494</v>
      </c>
      <c r="B454" s="7">
        <v>46125.254259259258</v>
      </c>
      <c r="C454" s="6" t="s">
        <v>20</v>
      </c>
      <c r="D454" s="6" t="s">
        <v>1061</v>
      </c>
      <c r="E454" s="6" t="s">
        <v>22</v>
      </c>
      <c r="F454" s="10">
        <v>8290123</v>
      </c>
      <c r="G454" s="6">
        <v>2</v>
      </c>
      <c r="H454" s="6" t="s">
        <v>16</v>
      </c>
      <c r="I454" s="6" t="s">
        <v>17</v>
      </c>
      <c r="J454" s="6" t="s">
        <v>17</v>
      </c>
      <c r="K454" s="6" t="s">
        <v>18</v>
      </c>
      <c r="L454" s="6">
        <v>7800000</v>
      </c>
      <c r="M454" s="6" t="str">
        <f t="shared" si="7"/>
        <v>80L-1.2Cr</v>
      </c>
    </row>
    <row r="455" spans="1:13" x14ac:dyDescent="0.25">
      <c r="A455" s="6" t="s">
        <v>495</v>
      </c>
      <c r="B455" s="7">
        <v>46125.480486111112</v>
      </c>
      <c r="C455" s="6" t="s">
        <v>33</v>
      </c>
      <c r="D455" s="6" t="s">
        <v>1060</v>
      </c>
      <c r="E455" s="6" t="s">
        <v>15</v>
      </c>
      <c r="F455" s="10">
        <v>8367308</v>
      </c>
      <c r="G455" s="6">
        <v>2</v>
      </c>
      <c r="H455" s="6" t="s">
        <v>16</v>
      </c>
      <c r="I455" s="6" t="s">
        <v>23</v>
      </c>
      <c r="J455" s="6" t="s">
        <v>17</v>
      </c>
      <c r="K455" s="6" t="s">
        <v>18</v>
      </c>
      <c r="L455" s="6">
        <v>8550000</v>
      </c>
      <c r="M455" s="6" t="str">
        <f t="shared" si="7"/>
        <v>80L-1.2Cr</v>
      </c>
    </row>
    <row r="456" spans="1:13" x14ac:dyDescent="0.25">
      <c r="A456" s="6" t="s">
        <v>496</v>
      </c>
      <c r="B456" s="7">
        <v>46125.706701388888</v>
      </c>
      <c r="C456" s="6" t="s">
        <v>13</v>
      </c>
      <c r="D456" s="6" t="s">
        <v>1059</v>
      </c>
      <c r="E456" s="6" t="s">
        <v>22</v>
      </c>
      <c r="F456" s="10">
        <v>6268449</v>
      </c>
      <c r="G456" s="6">
        <v>2</v>
      </c>
      <c r="H456" s="6" t="s">
        <v>37</v>
      </c>
      <c r="I456" s="6" t="s">
        <v>23</v>
      </c>
      <c r="J456" s="6" t="s">
        <v>23</v>
      </c>
      <c r="K456" s="6" t="s">
        <v>28</v>
      </c>
      <c r="L456" s="6"/>
      <c r="M456" s="6" t="str">
        <f t="shared" si="7"/>
        <v>50L-80L</v>
      </c>
    </row>
    <row r="457" spans="1:13" x14ac:dyDescent="0.25">
      <c r="A457" s="6" t="s">
        <v>497</v>
      </c>
      <c r="B457" s="7">
        <v>46125.932928240742</v>
      </c>
      <c r="C457" s="6" t="s">
        <v>20</v>
      </c>
      <c r="D457" s="6" t="s">
        <v>1061</v>
      </c>
      <c r="E457" s="6" t="s">
        <v>15</v>
      </c>
      <c r="F457" s="10">
        <v>7888978</v>
      </c>
      <c r="G457" s="6">
        <v>4</v>
      </c>
      <c r="H457" s="6" t="s">
        <v>37</v>
      </c>
      <c r="I457" s="6" t="s">
        <v>17</v>
      </c>
      <c r="J457" s="6" t="s">
        <v>23</v>
      </c>
      <c r="K457" s="6" t="s">
        <v>24</v>
      </c>
      <c r="L457" s="6"/>
      <c r="M457" s="6" t="str">
        <f t="shared" si="7"/>
        <v>50L-80L</v>
      </c>
    </row>
    <row r="458" spans="1:13" x14ac:dyDescent="0.25">
      <c r="A458" s="6" t="s">
        <v>498</v>
      </c>
      <c r="B458" s="7">
        <v>46126.159155092595</v>
      </c>
      <c r="C458" s="6" t="s">
        <v>13</v>
      </c>
      <c r="D458" s="6" t="s">
        <v>1062</v>
      </c>
      <c r="E458" s="6" t="s">
        <v>15</v>
      </c>
      <c r="F458" s="10">
        <v>7146276</v>
      </c>
      <c r="G458" s="6">
        <v>3</v>
      </c>
      <c r="H458" s="6" t="s">
        <v>37</v>
      </c>
      <c r="I458" s="6" t="s">
        <v>17</v>
      </c>
      <c r="J458" s="6" t="s">
        <v>23</v>
      </c>
      <c r="K458" s="6" t="s">
        <v>24</v>
      </c>
      <c r="L458" s="6"/>
      <c r="M458" s="6" t="str">
        <f t="shared" si="7"/>
        <v>50L-80L</v>
      </c>
    </row>
    <row r="459" spans="1:13" x14ac:dyDescent="0.25">
      <c r="A459" s="6" t="s">
        <v>499</v>
      </c>
      <c r="B459" s="7">
        <v>46126.385381944441</v>
      </c>
      <c r="C459" s="6" t="s">
        <v>20</v>
      </c>
      <c r="D459" s="6" t="s">
        <v>1062</v>
      </c>
      <c r="E459" s="6" t="s">
        <v>22</v>
      </c>
      <c r="F459" s="10">
        <v>6639104</v>
      </c>
      <c r="G459" s="6">
        <v>5</v>
      </c>
      <c r="H459" s="6" t="s">
        <v>16</v>
      </c>
      <c r="I459" s="6" t="s">
        <v>17</v>
      </c>
      <c r="J459" s="6" t="s">
        <v>17</v>
      </c>
      <c r="K459" s="6" t="s">
        <v>18</v>
      </c>
      <c r="L459" s="6">
        <v>6850000</v>
      </c>
      <c r="M459" s="6" t="str">
        <f t="shared" si="7"/>
        <v>50L-80L</v>
      </c>
    </row>
    <row r="460" spans="1:13" x14ac:dyDescent="0.25">
      <c r="A460" s="6" t="s">
        <v>500</v>
      </c>
      <c r="B460" s="7">
        <v>46126.611608796295</v>
      </c>
      <c r="C460" s="6" t="s">
        <v>13</v>
      </c>
      <c r="D460" s="6" t="s">
        <v>1059</v>
      </c>
      <c r="E460" s="6" t="s">
        <v>15</v>
      </c>
      <c r="F460" s="10">
        <v>3943681</v>
      </c>
      <c r="G460" s="6">
        <v>2</v>
      </c>
      <c r="H460" s="6" t="s">
        <v>16</v>
      </c>
      <c r="I460" s="6" t="s">
        <v>23</v>
      </c>
      <c r="J460" s="6" t="s">
        <v>23</v>
      </c>
      <c r="K460" s="6" t="s">
        <v>28</v>
      </c>
      <c r="L460" s="6"/>
      <c r="M460" s="6" t="str">
        <f t="shared" si="7"/>
        <v>30L-50L</v>
      </c>
    </row>
    <row r="461" spans="1:13" x14ac:dyDescent="0.25">
      <c r="A461" s="6" t="s">
        <v>501</v>
      </c>
      <c r="B461" s="7">
        <v>46126.837835648148</v>
      </c>
      <c r="C461" s="6" t="s">
        <v>13</v>
      </c>
      <c r="D461" s="6" t="s">
        <v>1062</v>
      </c>
      <c r="E461" s="6" t="s">
        <v>15</v>
      </c>
      <c r="F461" s="10">
        <v>4334649</v>
      </c>
      <c r="G461" s="6">
        <v>1</v>
      </c>
      <c r="H461" s="6" t="s">
        <v>37</v>
      </c>
      <c r="I461" s="6" t="s">
        <v>23</v>
      </c>
      <c r="J461" s="6" t="s">
        <v>23</v>
      </c>
      <c r="K461" s="6" t="s">
        <v>28</v>
      </c>
      <c r="L461" s="6"/>
      <c r="M461" s="6" t="str">
        <f t="shared" si="7"/>
        <v>30L-50L</v>
      </c>
    </row>
    <row r="462" spans="1:13" x14ac:dyDescent="0.25">
      <c r="A462" s="6" t="s">
        <v>502</v>
      </c>
      <c r="B462" s="7">
        <v>46127.064062500001</v>
      </c>
      <c r="C462" s="6" t="s">
        <v>13</v>
      </c>
      <c r="D462" s="6" t="s">
        <v>21</v>
      </c>
      <c r="E462" s="6" t="s">
        <v>27</v>
      </c>
      <c r="F462" s="10">
        <v>4471316</v>
      </c>
      <c r="G462" s="6">
        <v>2</v>
      </c>
      <c r="H462" s="6" t="s">
        <v>16</v>
      </c>
      <c r="I462" s="6" t="s">
        <v>17</v>
      </c>
      <c r="J462" s="6" t="s">
        <v>23</v>
      </c>
      <c r="K462" s="6" t="s">
        <v>24</v>
      </c>
      <c r="L462" s="6"/>
      <c r="M462" s="6" t="str">
        <f t="shared" si="7"/>
        <v>30L-50L</v>
      </c>
    </row>
    <row r="463" spans="1:13" x14ac:dyDescent="0.25">
      <c r="A463" s="6" t="s">
        <v>503</v>
      </c>
      <c r="B463" s="7">
        <v>46127.290289351855</v>
      </c>
      <c r="C463" s="6" t="s">
        <v>30</v>
      </c>
      <c r="D463" s="6" t="s">
        <v>1062</v>
      </c>
      <c r="E463" s="6" t="s">
        <v>27</v>
      </c>
      <c r="F463" s="10">
        <v>4126102</v>
      </c>
      <c r="G463" s="6">
        <v>3</v>
      </c>
      <c r="H463" s="6" t="s">
        <v>16</v>
      </c>
      <c r="I463" s="6" t="s">
        <v>23</v>
      </c>
      <c r="J463" s="6" t="s">
        <v>23</v>
      </c>
      <c r="K463" s="6" t="s">
        <v>28</v>
      </c>
      <c r="L463" s="6"/>
      <c r="M463" s="6" t="str">
        <f t="shared" si="7"/>
        <v>30L-50L</v>
      </c>
    </row>
    <row r="464" spans="1:13" x14ac:dyDescent="0.25">
      <c r="A464" s="6" t="s">
        <v>504</v>
      </c>
      <c r="B464" s="7">
        <v>46127.516516203701</v>
      </c>
      <c r="C464" s="6" t="s">
        <v>36</v>
      </c>
      <c r="D464" s="6" t="s">
        <v>1059</v>
      </c>
      <c r="E464" s="6" t="s">
        <v>22</v>
      </c>
      <c r="F464" s="10">
        <v>8000892</v>
      </c>
      <c r="G464" s="6">
        <v>5</v>
      </c>
      <c r="H464" s="6" t="s">
        <v>16</v>
      </c>
      <c r="I464" s="6" t="s">
        <v>17</v>
      </c>
      <c r="J464" s="6" t="s">
        <v>23</v>
      </c>
      <c r="K464" s="6" t="s">
        <v>24</v>
      </c>
      <c r="L464" s="6"/>
      <c r="M464" s="6" t="str">
        <f t="shared" si="7"/>
        <v>80L-1.2Cr</v>
      </c>
    </row>
    <row r="465" spans="1:13" x14ac:dyDescent="0.25">
      <c r="A465" s="6" t="s">
        <v>505</v>
      </c>
      <c r="B465" s="7">
        <v>46127.742743055554</v>
      </c>
      <c r="C465" s="6" t="s">
        <v>30</v>
      </c>
      <c r="D465" s="6" t="s">
        <v>1062</v>
      </c>
      <c r="E465" s="6" t="s">
        <v>22</v>
      </c>
      <c r="F465" s="10">
        <v>10701341</v>
      </c>
      <c r="G465" s="6">
        <v>2</v>
      </c>
      <c r="H465" s="6" t="s">
        <v>16</v>
      </c>
      <c r="I465" s="6" t="s">
        <v>23</v>
      </c>
      <c r="J465" s="6" t="s">
        <v>17</v>
      </c>
      <c r="K465" s="6" t="s">
        <v>28</v>
      </c>
      <c r="L465" s="6"/>
      <c r="M465" s="6" t="str">
        <f t="shared" si="7"/>
        <v>80L-1.2Cr</v>
      </c>
    </row>
    <row r="466" spans="1:13" x14ac:dyDescent="0.25">
      <c r="A466" s="6" t="s">
        <v>506</v>
      </c>
      <c r="B466" s="7">
        <v>46127.968969907408</v>
      </c>
      <c r="C466" s="6" t="s">
        <v>33</v>
      </c>
      <c r="D466" s="6" t="s">
        <v>1061</v>
      </c>
      <c r="E466" s="6" t="s">
        <v>22</v>
      </c>
      <c r="F466" s="10">
        <v>9090074</v>
      </c>
      <c r="G466" s="6">
        <v>3</v>
      </c>
      <c r="H466" s="6" t="s">
        <v>16</v>
      </c>
      <c r="I466" s="6" t="s">
        <v>23</v>
      </c>
      <c r="J466" s="6" t="s">
        <v>17</v>
      </c>
      <c r="K466" s="6" t="s">
        <v>18</v>
      </c>
      <c r="L466" s="6">
        <v>8950000</v>
      </c>
      <c r="M466" s="6" t="str">
        <f t="shared" si="7"/>
        <v>80L-1.2Cr</v>
      </c>
    </row>
    <row r="467" spans="1:13" x14ac:dyDescent="0.25">
      <c r="A467" s="6" t="s">
        <v>507</v>
      </c>
      <c r="B467" s="7">
        <v>46128.195196759261</v>
      </c>
      <c r="C467" s="6" t="s">
        <v>26</v>
      </c>
      <c r="D467" s="6" t="s">
        <v>1059</v>
      </c>
      <c r="E467" s="6" t="s">
        <v>15</v>
      </c>
      <c r="F467" s="10">
        <v>4074477</v>
      </c>
      <c r="G467" s="6">
        <v>2</v>
      </c>
      <c r="H467" s="6" t="s">
        <v>16</v>
      </c>
      <c r="I467" s="6" t="s">
        <v>17</v>
      </c>
      <c r="J467" s="6" t="s">
        <v>17</v>
      </c>
      <c r="K467" s="6" t="s">
        <v>18</v>
      </c>
      <c r="L467" s="6">
        <v>4150000</v>
      </c>
      <c r="M467" s="6" t="str">
        <f t="shared" si="7"/>
        <v>30L-50L</v>
      </c>
    </row>
    <row r="468" spans="1:13" x14ac:dyDescent="0.25">
      <c r="A468" s="6" t="s">
        <v>508</v>
      </c>
      <c r="B468" s="7">
        <v>46128.421423611115</v>
      </c>
      <c r="C468" s="6" t="s">
        <v>26</v>
      </c>
      <c r="D468" s="6" t="s">
        <v>1061</v>
      </c>
      <c r="E468" s="6" t="s">
        <v>15</v>
      </c>
      <c r="F468" s="10">
        <v>4967928</v>
      </c>
      <c r="G468" s="6">
        <v>3</v>
      </c>
      <c r="H468" s="6" t="s">
        <v>16</v>
      </c>
      <c r="I468" s="6" t="s">
        <v>17</v>
      </c>
      <c r="J468" s="6" t="s">
        <v>17</v>
      </c>
      <c r="K468" s="6" t="s">
        <v>24</v>
      </c>
      <c r="L468" s="6"/>
      <c r="M468" s="6" t="str">
        <f t="shared" si="7"/>
        <v>30L-50L</v>
      </c>
    </row>
    <row r="469" spans="1:13" x14ac:dyDescent="0.25">
      <c r="A469" s="6" t="s">
        <v>509</v>
      </c>
      <c r="B469" s="7">
        <v>46128.647650462961</v>
      </c>
      <c r="C469" s="6" t="s">
        <v>36</v>
      </c>
      <c r="D469" s="6" t="s">
        <v>21</v>
      </c>
      <c r="E469" s="6" t="s">
        <v>15</v>
      </c>
      <c r="F469" s="10">
        <v>4326980</v>
      </c>
      <c r="G469" s="6">
        <v>5</v>
      </c>
      <c r="H469" s="6" t="s">
        <v>16</v>
      </c>
      <c r="I469" s="6" t="s">
        <v>17</v>
      </c>
      <c r="J469" s="6" t="s">
        <v>23</v>
      </c>
      <c r="K469" s="6" t="s">
        <v>24</v>
      </c>
      <c r="L469" s="6"/>
      <c r="M469" s="6" t="str">
        <f t="shared" si="7"/>
        <v>30L-50L</v>
      </c>
    </row>
    <row r="470" spans="1:13" x14ac:dyDescent="0.25">
      <c r="A470" s="6" t="s">
        <v>510</v>
      </c>
      <c r="B470" s="7">
        <v>46128.873877314814</v>
      </c>
      <c r="C470" s="6" t="s">
        <v>26</v>
      </c>
      <c r="D470" s="6" t="s">
        <v>1061</v>
      </c>
      <c r="E470" s="6" t="s">
        <v>15</v>
      </c>
      <c r="F470" s="10">
        <v>4405802</v>
      </c>
      <c r="G470" s="6">
        <v>1</v>
      </c>
      <c r="H470" s="6" t="s">
        <v>16</v>
      </c>
      <c r="I470" s="6" t="s">
        <v>17</v>
      </c>
      <c r="J470" s="6" t="s">
        <v>23</v>
      </c>
      <c r="K470" s="6" t="s">
        <v>24</v>
      </c>
      <c r="L470" s="6"/>
      <c r="M470" s="6" t="str">
        <f t="shared" si="7"/>
        <v>30L-50L</v>
      </c>
    </row>
    <row r="471" spans="1:13" x14ac:dyDescent="0.25">
      <c r="A471" s="6" t="s">
        <v>511</v>
      </c>
      <c r="B471" s="7">
        <v>46129.100104166668</v>
      </c>
      <c r="C471" s="6" t="s">
        <v>33</v>
      </c>
      <c r="D471" s="6" t="s">
        <v>1063</v>
      </c>
      <c r="E471" s="6" t="s">
        <v>15</v>
      </c>
      <c r="F471" s="10">
        <v>3386350</v>
      </c>
      <c r="G471" s="6">
        <v>2</v>
      </c>
      <c r="H471" s="6" t="s">
        <v>16</v>
      </c>
      <c r="I471" s="6" t="s">
        <v>17</v>
      </c>
      <c r="J471" s="6" t="s">
        <v>17</v>
      </c>
      <c r="K471" s="6" t="s">
        <v>24</v>
      </c>
      <c r="L471" s="6"/>
      <c r="M471" s="6" t="str">
        <f t="shared" si="7"/>
        <v>30L-50L</v>
      </c>
    </row>
    <row r="472" spans="1:13" x14ac:dyDescent="0.25">
      <c r="A472" s="6" t="s">
        <v>512</v>
      </c>
      <c r="B472" s="7">
        <v>46129.326331018521</v>
      </c>
      <c r="C472" s="6" t="s">
        <v>13</v>
      </c>
      <c r="D472" s="6" t="s">
        <v>1060</v>
      </c>
      <c r="E472" s="6" t="s">
        <v>15</v>
      </c>
      <c r="F472" s="10">
        <v>3774107</v>
      </c>
      <c r="G472" s="6">
        <v>6</v>
      </c>
      <c r="H472" s="6" t="s">
        <v>16</v>
      </c>
      <c r="I472" s="6" t="s">
        <v>23</v>
      </c>
      <c r="J472" s="6" t="s">
        <v>23</v>
      </c>
      <c r="K472" s="6" t="s">
        <v>28</v>
      </c>
      <c r="L472" s="6"/>
      <c r="M472" s="6" t="str">
        <f t="shared" si="7"/>
        <v>30L-50L</v>
      </c>
    </row>
    <row r="473" spans="1:13" x14ac:dyDescent="0.25">
      <c r="A473" s="6" t="s">
        <v>513</v>
      </c>
      <c r="B473" s="7">
        <v>46129.552557870367</v>
      </c>
      <c r="C473" s="6" t="s">
        <v>33</v>
      </c>
      <c r="D473" s="6" t="s">
        <v>1062</v>
      </c>
      <c r="E473" s="6" t="s">
        <v>27</v>
      </c>
      <c r="F473" s="10">
        <v>7929512</v>
      </c>
      <c r="G473" s="6">
        <v>5</v>
      </c>
      <c r="H473" s="6" t="s">
        <v>16</v>
      </c>
      <c r="I473" s="6" t="s">
        <v>23</v>
      </c>
      <c r="J473" s="6" t="s">
        <v>23</v>
      </c>
      <c r="K473" s="6" t="s">
        <v>28</v>
      </c>
      <c r="L473" s="6"/>
      <c r="M473" s="6" t="str">
        <f t="shared" si="7"/>
        <v>50L-80L</v>
      </c>
    </row>
    <row r="474" spans="1:13" x14ac:dyDescent="0.25">
      <c r="A474" s="6" t="s">
        <v>514</v>
      </c>
      <c r="B474" s="7">
        <v>46129.778773148151</v>
      </c>
      <c r="C474" s="6" t="s">
        <v>13</v>
      </c>
      <c r="D474" s="6" t="s">
        <v>1061</v>
      </c>
      <c r="E474" s="6" t="s">
        <v>27</v>
      </c>
      <c r="F474" s="10">
        <v>4877955</v>
      </c>
      <c r="G474" s="6">
        <v>3</v>
      </c>
      <c r="H474" s="6" t="s">
        <v>16</v>
      </c>
      <c r="I474" s="6" t="s">
        <v>17</v>
      </c>
      <c r="J474" s="6" t="s">
        <v>23</v>
      </c>
      <c r="K474" s="6" t="s">
        <v>24</v>
      </c>
      <c r="L474" s="6"/>
      <c r="M474" s="6" t="str">
        <f t="shared" si="7"/>
        <v>30L-50L</v>
      </c>
    </row>
    <row r="475" spans="1:13" x14ac:dyDescent="0.25">
      <c r="A475" s="6" t="s">
        <v>515</v>
      </c>
      <c r="B475" s="7">
        <v>46130.004999999997</v>
      </c>
      <c r="C475" s="6" t="s">
        <v>36</v>
      </c>
      <c r="D475" s="6" t="s">
        <v>21</v>
      </c>
      <c r="E475" s="6" t="s">
        <v>22</v>
      </c>
      <c r="F475" s="10">
        <v>6141449</v>
      </c>
      <c r="G475" s="6">
        <v>3</v>
      </c>
      <c r="H475" s="6" t="s">
        <v>16</v>
      </c>
      <c r="I475" s="6" t="s">
        <v>17</v>
      </c>
      <c r="J475" s="6" t="s">
        <v>23</v>
      </c>
      <c r="K475" s="6" t="s">
        <v>24</v>
      </c>
      <c r="L475" s="6"/>
      <c r="M475" s="6" t="str">
        <f t="shared" si="7"/>
        <v>50L-80L</v>
      </c>
    </row>
    <row r="476" spans="1:13" x14ac:dyDescent="0.25">
      <c r="A476" s="6" t="s">
        <v>516</v>
      </c>
      <c r="B476" s="7">
        <v>46130.231226851851</v>
      </c>
      <c r="C476" s="6" t="s">
        <v>20</v>
      </c>
      <c r="D476" s="6" t="s">
        <v>21</v>
      </c>
      <c r="E476" s="6" t="s">
        <v>15</v>
      </c>
      <c r="F476" s="10">
        <v>3295920</v>
      </c>
      <c r="G476" s="6">
        <v>2</v>
      </c>
      <c r="H476" s="6" t="s">
        <v>16</v>
      </c>
      <c r="I476" s="6" t="s">
        <v>23</v>
      </c>
      <c r="J476" s="6" t="s">
        <v>23</v>
      </c>
      <c r="K476" s="6" t="s">
        <v>28</v>
      </c>
      <c r="L476" s="6"/>
      <c r="M476" s="6" t="str">
        <f t="shared" si="7"/>
        <v>30L-50L</v>
      </c>
    </row>
    <row r="477" spans="1:13" x14ac:dyDescent="0.25">
      <c r="A477" s="6" t="s">
        <v>517</v>
      </c>
      <c r="B477" s="7">
        <v>46130.457453703704</v>
      </c>
      <c r="C477" s="6" t="s">
        <v>33</v>
      </c>
      <c r="D477" s="6" t="s">
        <v>1062</v>
      </c>
      <c r="E477" s="6" t="s">
        <v>27</v>
      </c>
      <c r="F477" s="10">
        <v>1635370</v>
      </c>
      <c r="G477" s="6">
        <v>3</v>
      </c>
      <c r="H477" s="6" t="s">
        <v>16</v>
      </c>
      <c r="I477" s="6" t="s">
        <v>17</v>
      </c>
      <c r="J477" s="6" t="s">
        <v>17</v>
      </c>
      <c r="K477" s="6" t="s">
        <v>24</v>
      </c>
      <c r="L477" s="6"/>
      <c r="M477" s="6" t="str">
        <f t="shared" si="7"/>
        <v>Below 30L</v>
      </c>
    </row>
    <row r="478" spans="1:13" x14ac:dyDescent="0.25">
      <c r="A478" s="6" t="s">
        <v>518</v>
      </c>
      <c r="B478" s="7">
        <v>46130.683680555558</v>
      </c>
      <c r="C478" s="6" t="s">
        <v>13</v>
      </c>
      <c r="D478" s="6" t="s">
        <v>1063</v>
      </c>
      <c r="E478" s="6" t="s">
        <v>15</v>
      </c>
      <c r="F478" s="10">
        <v>6435365</v>
      </c>
      <c r="G478" s="6">
        <v>4</v>
      </c>
      <c r="H478" s="6" t="s">
        <v>37</v>
      </c>
      <c r="I478" s="6" t="s">
        <v>17</v>
      </c>
      <c r="J478" s="6" t="s">
        <v>23</v>
      </c>
      <c r="K478" s="6" t="s">
        <v>24</v>
      </c>
      <c r="L478" s="6"/>
      <c r="M478" s="6" t="str">
        <f t="shared" si="7"/>
        <v>50L-80L</v>
      </c>
    </row>
    <row r="479" spans="1:13" x14ac:dyDescent="0.25">
      <c r="A479" s="6" t="s">
        <v>519</v>
      </c>
      <c r="B479" s="7">
        <v>46130.909907407404</v>
      </c>
      <c r="C479" s="6" t="s">
        <v>20</v>
      </c>
      <c r="D479" s="6" t="s">
        <v>1063</v>
      </c>
      <c r="E479" s="6" t="s">
        <v>22</v>
      </c>
      <c r="F479" s="10">
        <v>8000564</v>
      </c>
      <c r="G479" s="6">
        <v>3</v>
      </c>
      <c r="H479" s="6" t="s">
        <v>16</v>
      </c>
      <c r="I479" s="6" t="s">
        <v>17</v>
      </c>
      <c r="J479" s="6" t="s">
        <v>23</v>
      </c>
      <c r="K479" s="6" t="s">
        <v>24</v>
      </c>
      <c r="L479" s="6"/>
      <c r="M479" s="6" t="str">
        <f t="shared" si="7"/>
        <v>80L-1.2Cr</v>
      </c>
    </row>
    <row r="480" spans="1:13" x14ac:dyDescent="0.25">
      <c r="A480" s="6" t="s">
        <v>520</v>
      </c>
      <c r="B480" s="7">
        <v>46131.136134259257</v>
      </c>
      <c r="C480" s="6" t="s">
        <v>33</v>
      </c>
      <c r="D480" s="6" t="s">
        <v>1063</v>
      </c>
      <c r="E480" s="6" t="s">
        <v>15</v>
      </c>
      <c r="F480" s="10">
        <v>4743768</v>
      </c>
      <c r="G480" s="6">
        <v>2</v>
      </c>
      <c r="H480" s="6" t="s">
        <v>16</v>
      </c>
      <c r="I480" s="6" t="s">
        <v>17</v>
      </c>
      <c r="J480" s="6" t="s">
        <v>17</v>
      </c>
      <c r="K480" s="6" t="s">
        <v>24</v>
      </c>
      <c r="L480" s="6"/>
      <c r="M480" s="6" t="str">
        <f t="shared" si="7"/>
        <v>30L-50L</v>
      </c>
    </row>
    <row r="481" spans="1:13" x14ac:dyDescent="0.25">
      <c r="A481" s="6" t="s">
        <v>521</v>
      </c>
      <c r="B481" s="7">
        <v>46131.362361111111</v>
      </c>
      <c r="C481" s="6" t="s">
        <v>20</v>
      </c>
      <c r="D481" s="6" t="s">
        <v>21</v>
      </c>
      <c r="E481" s="6" t="s">
        <v>22</v>
      </c>
      <c r="F481" s="10">
        <v>6504677</v>
      </c>
      <c r="G481" s="6">
        <v>1</v>
      </c>
      <c r="H481" s="6" t="s">
        <v>16</v>
      </c>
      <c r="I481" s="6" t="s">
        <v>17</v>
      </c>
      <c r="J481" s="6" t="s">
        <v>23</v>
      </c>
      <c r="K481" s="6" t="s">
        <v>24</v>
      </c>
      <c r="L481" s="6"/>
      <c r="M481" s="6" t="str">
        <f t="shared" si="7"/>
        <v>50L-80L</v>
      </c>
    </row>
    <row r="482" spans="1:13" x14ac:dyDescent="0.25">
      <c r="A482" s="6" t="s">
        <v>522</v>
      </c>
      <c r="B482" s="7">
        <v>46131.588587962964</v>
      </c>
      <c r="C482" s="6" t="s">
        <v>30</v>
      </c>
      <c r="D482" s="6" t="s">
        <v>1063</v>
      </c>
      <c r="E482" s="6" t="s">
        <v>15</v>
      </c>
      <c r="F482" s="10">
        <v>4458760</v>
      </c>
      <c r="G482" s="6">
        <v>2</v>
      </c>
      <c r="H482" s="6" t="s">
        <v>37</v>
      </c>
      <c r="I482" s="6" t="s">
        <v>23</v>
      </c>
      <c r="J482" s="6" t="s">
        <v>23</v>
      </c>
      <c r="K482" s="6" t="s">
        <v>28</v>
      </c>
      <c r="L482" s="6"/>
      <c r="M482" s="6" t="str">
        <f t="shared" si="7"/>
        <v>30L-50L</v>
      </c>
    </row>
    <row r="483" spans="1:13" x14ac:dyDescent="0.25">
      <c r="A483" s="6" t="s">
        <v>523</v>
      </c>
      <c r="B483" s="7">
        <v>46131.814814814818</v>
      </c>
      <c r="C483" s="6" t="s">
        <v>30</v>
      </c>
      <c r="D483" s="6" t="s">
        <v>1059</v>
      </c>
      <c r="E483" s="6" t="s">
        <v>27</v>
      </c>
      <c r="F483" s="10">
        <v>6275394</v>
      </c>
      <c r="G483" s="6">
        <v>1</v>
      </c>
      <c r="H483" s="6" t="s">
        <v>16</v>
      </c>
      <c r="I483" s="6" t="s">
        <v>17</v>
      </c>
      <c r="J483" s="6" t="s">
        <v>17</v>
      </c>
      <c r="K483" s="6" t="s">
        <v>18</v>
      </c>
      <c r="L483" s="6">
        <v>5900000</v>
      </c>
      <c r="M483" s="6" t="str">
        <f t="shared" si="7"/>
        <v>50L-80L</v>
      </c>
    </row>
    <row r="484" spans="1:13" x14ac:dyDescent="0.25">
      <c r="A484" s="6" t="s">
        <v>524</v>
      </c>
      <c r="B484" s="7">
        <v>46132.041041666664</v>
      </c>
      <c r="C484" s="6" t="s">
        <v>20</v>
      </c>
      <c r="D484" s="6" t="s">
        <v>1060</v>
      </c>
      <c r="E484" s="6" t="s">
        <v>27</v>
      </c>
      <c r="F484" s="10">
        <v>3931516</v>
      </c>
      <c r="G484" s="6">
        <v>1</v>
      </c>
      <c r="H484" s="6" t="s">
        <v>16</v>
      </c>
      <c r="I484" s="6" t="s">
        <v>23</v>
      </c>
      <c r="J484" s="6" t="s">
        <v>23</v>
      </c>
      <c r="K484" s="6" t="s">
        <v>28</v>
      </c>
      <c r="L484" s="6"/>
      <c r="M484" s="6" t="str">
        <f t="shared" si="7"/>
        <v>30L-50L</v>
      </c>
    </row>
    <row r="485" spans="1:13" x14ac:dyDescent="0.25">
      <c r="A485" s="6" t="s">
        <v>525</v>
      </c>
      <c r="B485" s="7">
        <v>46132.267268518517</v>
      </c>
      <c r="C485" s="6" t="s">
        <v>30</v>
      </c>
      <c r="D485" s="6" t="s">
        <v>1059</v>
      </c>
      <c r="E485" s="6" t="s">
        <v>15</v>
      </c>
      <c r="F485" s="10">
        <v>5292331</v>
      </c>
      <c r="G485" s="6">
        <v>2</v>
      </c>
      <c r="H485" s="6" t="s">
        <v>16</v>
      </c>
      <c r="I485" s="6" t="s">
        <v>17</v>
      </c>
      <c r="J485" s="6" t="s">
        <v>17</v>
      </c>
      <c r="K485" s="6" t="s">
        <v>24</v>
      </c>
      <c r="L485" s="6"/>
      <c r="M485" s="6" t="str">
        <f t="shared" si="7"/>
        <v>50L-80L</v>
      </c>
    </row>
    <row r="486" spans="1:13" x14ac:dyDescent="0.25">
      <c r="A486" s="6" t="s">
        <v>526</v>
      </c>
      <c r="B486" s="7">
        <v>46132.493495370371</v>
      </c>
      <c r="C486" s="6" t="s">
        <v>30</v>
      </c>
      <c r="D486" s="6" t="s">
        <v>21</v>
      </c>
      <c r="E486" s="6" t="s">
        <v>15</v>
      </c>
      <c r="F486" s="10">
        <v>5520748</v>
      </c>
      <c r="G486" s="6">
        <v>1</v>
      </c>
      <c r="H486" s="6" t="s">
        <v>16</v>
      </c>
      <c r="I486" s="6" t="s">
        <v>23</v>
      </c>
      <c r="J486" s="6" t="s">
        <v>23</v>
      </c>
      <c r="K486" s="6" t="s">
        <v>28</v>
      </c>
      <c r="L486" s="6"/>
      <c r="M486" s="6" t="str">
        <f t="shared" si="7"/>
        <v>50L-80L</v>
      </c>
    </row>
    <row r="487" spans="1:13" x14ac:dyDescent="0.25">
      <c r="A487" s="6" t="s">
        <v>527</v>
      </c>
      <c r="B487" s="7">
        <v>46132.719722222224</v>
      </c>
      <c r="C487" s="6" t="s">
        <v>33</v>
      </c>
      <c r="D487" s="6" t="s">
        <v>21</v>
      </c>
      <c r="E487" s="6" t="s">
        <v>27</v>
      </c>
      <c r="F487" s="10">
        <v>6845965</v>
      </c>
      <c r="G487" s="6">
        <v>1</v>
      </c>
      <c r="H487" s="6" t="s">
        <v>37</v>
      </c>
      <c r="I487" s="6" t="s">
        <v>17</v>
      </c>
      <c r="J487" s="6" t="s">
        <v>23</v>
      </c>
      <c r="K487" s="6" t="s">
        <v>18</v>
      </c>
      <c r="L487" s="6">
        <v>6750000</v>
      </c>
      <c r="M487" s="6" t="str">
        <f t="shared" si="7"/>
        <v>50L-80L</v>
      </c>
    </row>
    <row r="488" spans="1:13" x14ac:dyDescent="0.25">
      <c r="A488" s="6" t="s">
        <v>528</v>
      </c>
      <c r="B488" s="7">
        <v>46132.945949074077</v>
      </c>
      <c r="C488" s="6" t="s">
        <v>13</v>
      </c>
      <c r="D488" s="6" t="s">
        <v>21</v>
      </c>
      <c r="E488" s="6" t="s">
        <v>15</v>
      </c>
      <c r="F488" s="10">
        <v>6472159</v>
      </c>
      <c r="G488" s="6">
        <v>3</v>
      </c>
      <c r="H488" s="6" t="s">
        <v>37</v>
      </c>
      <c r="I488" s="6" t="s">
        <v>17</v>
      </c>
      <c r="J488" s="6" t="s">
        <v>23</v>
      </c>
      <c r="K488" s="6" t="s">
        <v>24</v>
      </c>
      <c r="L488" s="6"/>
      <c r="M488" s="6" t="str">
        <f t="shared" si="7"/>
        <v>50L-80L</v>
      </c>
    </row>
    <row r="489" spans="1:13" x14ac:dyDescent="0.25">
      <c r="A489" s="6" t="s">
        <v>529</v>
      </c>
      <c r="B489" s="7">
        <v>46133.172175925924</v>
      </c>
      <c r="C489" s="6" t="s">
        <v>26</v>
      </c>
      <c r="D489" s="6" t="s">
        <v>1062</v>
      </c>
      <c r="E489" s="6" t="s">
        <v>27</v>
      </c>
      <c r="F489" s="10">
        <v>3646013</v>
      </c>
      <c r="G489" s="6">
        <v>1</v>
      </c>
      <c r="H489" s="6" t="s">
        <v>16</v>
      </c>
      <c r="I489" s="6" t="s">
        <v>23</v>
      </c>
      <c r="J489" s="6" t="s">
        <v>23</v>
      </c>
      <c r="K489" s="6" t="s">
        <v>28</v>
      </c>
      <c r="L489" s="6"/>
      <c r="M489" s="6" t="str">
        <f t="shared" si="7"/>
        <v>30L-50L</v>
      </c>
    </row>
    <row r="490" spans="1:13" x14ac:dyDescent="0.25">
      <c r="A490" s="6" t="s">
        <v>530</v>
      </c>
      <c r="B490" s="7">
        <v>46133.398402777777</v>
      </c>
      <c r="C490" s="6" t="s">
        <v>33</v>
      </c>
      <c r="D490" s="6" t="s">
        <v>21</v>
      </c>
      <c r="E490" s="6" t="s">
        <v>22</v>
      </c>
      <c r="F490" s="10">
        <v>9224858</v>
      </c>
      <c r="G490" s="6">
        <v>1</v>
      </c>
      <c r="H490" s="6" t="s">
        <v>37</v>
      </c>
      <c r="I490" s="6" t="s">
        <v>17</v>
      </c>
      <c r="J490" s="6" t="s">
        <v>23</v>
      </c>
      <c r="K490" s="6" t="s">
        <v>24</v>
      </c>
      <c r="L490" s="6"/>
      <c r="M490" s="6" t="str">
        <f t="shared" si="7"/>
        <v>80L-1.2Cr</v>
      </c>
    </row>
    <row r="491" spans="1:13" x14ac:dyDescent="0.25">
      <c r="A491" s="6" t="s">
        <v>531</v>
      </c>
      <c r="B491" s="7">
        <v>46133.62462962963</v>
      </c>
      <c r="C491" s="6" t="s">
        <v>36</v>
      </c>
      <c r="D491" s="6" t="s">
        <v>1060</v>
      </c>
      <c r="E491" s="6" t="s">
        <v>15</v>
      </c>
      <c r="F491" s="10">
        <v>4672647</v>
      </c>
      <c r="G491" s="6">
        <v>2</v>
      </c>
      <c r="H491" s="6" t="s">
        <v>16</v>
      </c>
      <c r="I491" s="6" t="s">
        <v>17</v>
      </c>
      <c r="J491" s="6" t="s">
        <v>23</v>
      </c>
      <c r="K491" s="6" t="s">
        <v>18</v>
      </c>
      <c r="L491" s="6">
        <v>4550000</v>
      </c>
      <c r="M491" s="6" t="str">
        <f t="shared" si="7"/>
        <v>30L-50L</v>
      </c>
    </row>
    <row r="492" spans="1:13" x14ac:dyDescent="0.25">
      <c r="A492" s="6" t="s">
        <v>532</v>
      </c>
      <c r="B492" s="7">
        <v>46133.850856481484</v>
      </c>
      <c r="C492" s="6" t="s">
        <v>20</v>
      </c>
      <c r="D492" s="6" t="s">
        <v>1059</v>
      </c>
      <c r="E492" s="6" t="s">
        <v>15</v>
      </c>
      <c r="F492" s="10">
        <v>8947317</v>
      </c>
      <c r="G492" s="6">
        <v>1</v>
      </c>
      <c r="H492" s="6" t="s">
        <v>16</v>
      </c>
      <c r="I492" s="6" t="s">
        <v>17</v>
      </c>
      <c r="J492" s="6" t="s">
        <v>23</v>
      </c>
      <c r="K492" s="6" t="s">
        <v>24</v>
      </c>
      <c r="L492" s="6"/>
      <c r="M492" s="6" t="str">
        <f t="shared" si="7"/>
        <v>80L-1.2Cr</v>
      </c>
    </row>
    <row r="493" spans="1:13" x14ac:dyDescent="0.25">
      <c r="A493" s="6" t="s">
        <v>533</v>
      </c>
      <c r="B493" s="7">
        <v>46134.07707175926</v>
      </c>
      <c r="C493" s="6" t="s">
        <v>30</v>
      </c>
      <c r="D493" s="6" t="s">
        <v>21</v>
      </c>
      <c r="E493" s="6" t="s">
        <v>15</v>
      </c>
      <c r="F493" s="10">
        <v>4143457</v>
      </c>
      <c r="G493" s="6">
        <v>3</v>
      </c>
      <c r="H493" s="6" t="s">
        <v>16</v>
      </c>
      <c r="I493" s="6" t="s">
        <v>23</v>
      </c>
      <c r="J493" s="6" t="s">
        <v>23</v>
      </c>
      <c r="K493" s="6" t="s">
        <v>28</v>
      </c>
      <c r="L493" s="6"/>
      <c r="M493" s="6" t="str">
        <f t="shared" si="7"/>
        <v>30L-50L</v>
      </c>
    </row>
    <row r="494" spans="1:13" x14ac:dyDescent="0.25">
      <c r="A494" s="6" t="s">
        <v>534</v>
      </c>
      <c r="B494" s="7">
        <v>46134.303298611114</v>
      </c>
      <c r="C494" s="6" t="s">
        <v>26</v>
      </c>
      <c r="D494" s="6" t="s">
        <v>1059</v>
      </c>
      <c r="E494" s="6" t="s">
        <v>22</v>
      </c>
      <c r="F494" s="10">
        <v>6132659</v>
      </c>
      <c r="G494" s="6">
        <v>1</v>
      </c>
      <c r="H494" s="6" t="s">
        <v>16</v>
      </c>
      <c r="I494" s="6" t="s">
        <v>23</v>
      </c>
      <c r="J494" s="6" t="s">
        <v>23</v>
      </c>
      <c r="K494" s="6" t="s">
        <v>28</v>
      </c>
      <c r="L494" s="6"/>
      <c r="M494" s="6" t="str">
        <f t="shared" si="7"/>
        <v>50L-80L</v>
      </c>
    </row>
    <row r="495" spans="1:13" x14ac:dyDescent="0.25">
      <c r="A495" s="6" t="s">
        <v>535</v>
      </c>
      <c r="B495" s="7">
        <v>46134.52952546296</v>
      </c>
      <c r="C495" s="6" t="s">
        <v>13</v>
      </c>
      <c r="D495" s="6" t="s">
        <v>1059</v>
      </c>
      <c r="E495" s="6" t="s">
        <v>15</v>
      </c>
      <c r="F495" s="10">
        <v>3639872</v>
      </c>
      <c r="G495" s="6">
        <v>4</v>
      </c>
      <c r="H495" s="6" t="s">
        <v>37</v>
      </c>
      <c r="I495" s="6" t="s">
        <v>23</v>
      </c>
      <c r="J495" s="6" t="s">
        <v>23</v>
      </c>
      <c r="K495" s="6" t="s">
        <v>28</v>
      </c>
      <c r="L495" s="6"/>
      <c r="M495" s="6" t="str">
        <f t="shared" si="7"/>
        <v>30L-50L</v>
      </c>
    </row>
    <row r="496" spans="1:13" x14ac:dyDescent="0.25">
      <c r="A496" s="6" t="s">
        <v>536</v>
      </c>
      <c r="B496" s="7">
        <v>46134.755752314813</v>
      </c>
      <c r="C496" s="6" t="s">
        <v>20</v>
      </c>
      <c r="D496" s="6" t="s">
        <v>1062</v>
      </c>
      <c r="E496" s="6" t="s">
        <v>15</v>
      </c>
      <c r="F496" s="10">
        <v>6421576</v>
      </c>
      <c r="G496" s="6">
        <v>5</v>
      </c>
      <c r="H496" s="6" t="s">
        <v>16</v>
      </c>
      <c r="I496" s="6" t="s">
        <v>17</v>
      </c>
      <c r="J496" s="6" t="s">
        <v>23</v>
      </c>
      <c r="K496" s="6" t="s">
        <v>24</v>
      </c>
      <c r="L496" s="6"/>
      <c r="M496" s="6" t="str">
        <f t="shared" si="7"/>
        <v>50L-80L</v>
      </c>
    </row>
    <row r="497" spans="1:13" x14ac:dyDescent="0.25">
      <c r="A497" s="6" t="s">
        <v>537</v>
      </c>
      <c r="B497" s="7">
        <v>46134.981979166667</v>
      </c>
      <c r="C497" s="6" t="s">
        <v>26</v>
      </c>
      <c r="D497" s="6" t="s">
        <v>1062</v>
      </c>
      <c r="E497" s="6" t="s">
        <v>15</v>
      </c>
      <c r="F497" s="10">
        <v>7436321</v>
      </c>
      <c r="G497" s="6">
        <v>4</v>
      </c>
      <c r="H497" s="6" t="s">
        <v>16</v>
      </c>
      <c r="I497" s="6" t="s">
        <v>23</v>
      </c>
      <c r="J497" s="6" t="s">
        <v>23</v>
      </c>
      <c r="K497" s="6" t="s">
        <v>28</v>
      </c>
      <c r="L497" s="6"/>
      <c r="M497" s="6" t="str">
        <f t="shared" si="7"/>
        <v>50L-80L</v>
      </c>
    </row>
    <row r="498" spans="1:13" x14ac:dyDescent="0.25">
      <c r="A498" s="6" t="s">
        <v>538</v>
      </c>
      <c r="B498" s="7">
        <v>46135.20820601852</v>
      </c>
      <c r="C498" s="6" t="s">
        <v>30</v>
      </c>
      <c r="D498" s="6" t="s">
        <v>1062</v>
      </c>
      <c r="E498" s="6" t="s">
        <v>22</v>
      </c>
      <c r="F498" s="10">
        <v>8075838</v>
      </c>
      <c r="G498" s="6">
        <v>3</v>
      </c>
      <c r="H498" s="6" t="s">
        <v>16</v>
      </c>
      <c r="I498" s="6" t="s">
        <v>17</v>
      </c>
      <c r="J498" s="6" t="s">
        <v>23</v>
      </c>
      <c r="K498" s="6" t="s">
        <v>24</v>
      </c>
      <c r="L498" s="6"/>
      <c r="M498" s="6" t="str">
        <f t="shared" si="7"/>
        <v>80L-1.2Cr</v>
      </c>
    </row>
    <row r="499" spans="1:13" x14ac:dyDescent="0.25">
      <c r="A499" s="6" t="s">
        <v>539</v>
      </c>
      <c r="B499" s="7">
        <v>46135.434432870374</v>
      </c>
      <c r="C499" s="6" t="s">
        <v>13</v>
      </c>
      <c r="D499" s="6" t="s">
        <v>1060</v>
      </c>
      <c r="E499" s="6" t="s">
        <v>27</v>
      </c>
      <c r="F499" s="10">
        <v>4213866</v>
      </c>
      <c r="G499" s="6">
        <v>5</v>
      </c>
      <c r="H499" s="6" t="s">
        <v>16</v>
      </c>
      <c r="I499" s="6" t="s">
        <v>23</v>
      </c>
      <c r="J499" s="6" t="s">
        <v>23</v>
      </c>
      <c r="K499" s="6" t="s">
        <v>28</v>
      </c>
      <c r="L499" s="6"/>
      <c r="M499" s="6" t="str">
        <f t="shared" si="7"/>
        <v>30L-50L</v>
      </c>
    </row>
    <row r="500" spans="1:13" x14ac:dyDescent="0.25">
      <c r="A500" s="6" t="s">
        <v>540</v>
      </c>
      <c r="B500" s="7">
        <v>46135.66065972222</v>
      </c>
      <c r="C500" s="6" t="s">
        <v>33</v>
      </c>
      <c r="D500" s="6" t="s">
        <v>21</v>
      </c>
      <c r="E500" s="6" t="s">
        <v>27</v>
      </c>
      <c r="F500" s="10">
        <v>4647825</v>
      </c>
      <c r="G500" s="6">
        <v>3</v>
      </c>
      <c r="H500" s="6" t="s">
        <v>16</v>
      </c>
      <c r="I500" s="6" t="s">
        <v>17</v>
      </c>
      <c r="J500" s="6" t="s">
        <v>17</v>
      </c>
      <c r="K500" s="6" t="s">
        <v>24</v>
      </c>
      <c r="L500" s="6"/>
      <c r="M500" s="6" t="str">
        <f t="shared" si="7"/>
        <v>30L-50L</v>
      </c>
    </row>
    <row r="501" spans="1:13" x14ac:dyDescent="0.25">
      <c r="A501" s="6" t="s">
        <v>541</v>
      </c>
      <c r="B501" s="7">
        <v>46135.886886574073</v>
      </c>
      <c r="C501" s="6" t="s">
        <v>33</v>
      </c>
      <c r="D501" s="6" t="s">
        <v>1061</v>
      </c>
      <c r="E501" s="6" t="s">
        <v>15</v>
      </c>
      <c r="F501" s="10">
        <v>4001452</v>
      </c>
      <c r="G501" s="6">
        <v>1</v>
      </c>
      <c r="H501" s="6" t="s">
        <v>16</v>
      </c>
      <c r="I501" s="6" t="s">
        <v>23</v>
      </c>
      <c r="J501" s="6" t="s">
        <v>23</v>
      </c>
      <c r="K501" s="6" t="s">
        <v>28</v>
      </c>
      <c r="L501" s="6"/>
      <c r="M501" s="6" t="str">
        <f t="shared" si="7"/>
        <v>30L-50L</v>
      </c>
    </row>
    <row r="502" spans="1:13" x14ac:dyDescent="0.25">
      <c r="A502" s="6" t="s">
        <v>542</v>
      </c>
      <c r="B502" s="7">
        <v>46136.113113425927</v>
      </c>
      <c r="C502" s="6" t="s">
        <v>30</v>
      </c>
      <c r="D502" s="6" t="s">
        <v>1060</v>
      </c>
      <c r="E502" s="6" t="s">
        <v>27</v>
      </c>
      <c r="F502" s="10">
        <v>3432830</v>
      </c>
      <c r="G502" s="6">
        <v>2</v>
      </c>
      <c r="H502" s="6" t="s">
        <v>37</v>
      </c>
      <c r="I502" s="6" t="s">
        <v>23</v>
      </c>
      <c r="J502" s="6" t="s">
        <v>23</v>
      </c>
      <c r="K502" s="6" t="s">
        <v>28</v>
      </c>
      <c r="L502" s="6"/>
      <c r="M502" s="6" t="str">
        <f t="shared" si="7"/>
        <v>30L-50L</v>
      </c>
    </row>
    <row r="503" spans="1:13" x14ac:dyDescent="0.25">
      <c r="A503" s="6" t="s">
        <v>543</v>
      </c>
      <c r="B503" s="7">
        <v>46136.33934027778</v>
      </c>
      <c r="C503" s="6" t="s">
        <v>20</v>
      </c>
      <c r="D503" s="6" t="s">
        <v>1060</v>
      </c>
      <c r="E503" s="6" t="s">
        <v>22</v>
      </c>
      <c r="F503" s="10">
        <v>8734001</v>
      </c>
      <c r="G503" s="6">
        <v>5</v>
      </c>
      <c r="H503" s="6" t="s">
        <v>16</v>
      </c>
      <c r="I503" s="6" t="s">
        <v>23</v>
      </c>
      <c r="J503" s="6" t="s">
        <v>23</v>
      </c>
      <c r="K503" s="6" t="s">
        <v>28</v>
      </c>
      <c r="L503" s="6"/>
      <c r="M503" s="6" t="str">
        <f t="shared" si="7"/>
        <v>80L-1.2Cr</v>
      </c>
    </row>
    <row r="504" spans="1:13" x14ac:dyDescent="0.25">
      <c r="A504" s="6" t="s">
        <v>544</v>
      </c>
      <c r="B504" s="7">
        <v>46136.565567129626</v>
      </c>
      <c r="C504" s="6" t="s">
        <v>26</v>
      </c>
      <c r="D504" s="6" t="s">
        <v>1059</v>
      </c>
      <c r="E504" s="6" t="s">
        <v>22</v>
      </c>
      <c r="F504" s="10">
        <v>11774381</v>
      </c>
      <c r="G504" s="6">
        <v>2</v>
      </c>
      <c r="H504" s="6" t="s">
        <v>16</v>
      </c>
      <c r="I504" s="6" t="s">
        <v>17</v>
      </c>
      <c r="J504" s="6" t="s">
        <v>23</v>
      </c>
      <c r="K504" s="6" t="s">
        <v>24</v>
      </c>
      <c r="L504" s="6"/>
      <c r="M504" s="6" t="str">
        <f t="shared" si="7"/>
        <v>80L-1.2Cr</v>
      </c>
    </row>
    <row r="505" spans="1:13" x14ac:dyDescent="0.25">
      <c r="A505" s="6" t="s">
        <v>545</v>
      </c>
      <c r="B505" s="7">
        <v>46136.79179398148</v>
      </c>
      <c r="C505" s="6" t="s">
        <v>36</v>
      </c>
      <c r="D505" s="6" t="s">
        <v>21</v>
      </c>
      <c r="E505" s="6" t="s">
        <v>27</v>
      </c>
      <c r="F505" s="10">
        <v>2352557</v>
      </c>
      <c r="G505" s="6">
        <v>1</v>
      </c>
      <c r="H505" s="6" t="s">
        <v>37</v>
      </c>
      <c r="I505" s="6" t="s">
        <v>23</v>
      </c>
      <c r="J505" s="6" t="s">
        <v>23</v>
      </c>
      <c r="K505" s="6" t="s">
        <v>28</v>
      </c>
      <c r="L505" s="6"/>
      <c r="M505" s="6" t="str">
        <f t="shared" si="7"/>
        <v>Below 30L</v>
      </c>
    </row>
    <row r="506" spans="1:13" x14ac:dyDescent="0.25">
      <c r="A506" s="6" t="s">
        <v>546</v>
      </c>
      <c r="B506" s="7">
        <v>46137.018020833333</v>
      </c>
      <c r="C506" s="6" t="s">
        <v>30</v>
      </c>
      <c r="D506" s="6" t="s">
        <v>21</v>
      </c>
      <c r="E506" s="6" t="s">
        <v>15</v>
      </c>
      <c r="F506" s="10">
        <v>7610179</v>
      </c>
      <c r="G506" s="6">
        <v>4</v>
      </c>
      <c r="H506" s="6" t="s">
        <v>16</v>
      </c>
      <c r="I506" s="6" t="s">
        <v>17</v>
      </c>
      <c r="J506" s="6" t="s">
        <v>17</v>
      </c>
      <c r="K506" s="6" t="s">
        <v>24</v>
      </c>
      <c r="L506" s="6"/>
      <c r="M506" s="6" t="str">
        <f t="shared" si="7"/>
        <v>50L-80L</v>
      </c>
    </row>
    <row r="507" spans="1:13" x14ac:dyDescent="0.25">
      <c r="A507" s="6" t="s">
        <v>547</v>
      </c>
      <c r="B507" s="7">
        <v>46137.244247685187</v>
      </c>
      <c r="C507" s="6" t="s">
        <v>13</v>
      </c>
      <c r="D507" s="6" t="s">
        <v>21</v>
      </c>
      <c r="E507" s="6" t="s">
        <v>15</v>
      </c>
      <c r="F507" s="10">
        <v>3566510</v>
      </c>
      <c r="G507" s="6">
        <v>4</v>
      </c>
      <c r="H507" s="6" t="s">
        <v>16</v>
      </c>
      <c r="I507" s="6" t="s">
        <v>17</v>
      </c>
      <c r="J507" s="6" t="s">
        <v>17</v>
      </c>
      <c r="K507" s="6" t="s">
        <v>18</v>
      </c>
      <c r="L507" s="6">
        <v>3550000</v>
      </c>
      <c r="M507" s="6" t="str">
        <f t="shared" si="7"/>
        <v>30L-50L</v>
      </c>
    </row>
    <row r="508" spans="1:13" x14ac:dyDescent="0.25">
      <c r="A508" s="6" t="s">
        <v>548</v>
      </c>
      <c r="B508" s="7">
        <v>46137.47047453704</v>
      </c>
      <c r="C508" s="6" t="s">
        <v>33</v>
      </c>
      <c r="D508" s="6" t="s">
        <v>1060</v>
      </c>
      <c r="E508" s="6" t="s">
        <v>27</v>
      </c>
      <c r="F508" s="10">
        <v>2790894</v>
      </c>
      <c r="G508" s="6">
        <v>1</v>
      </c>
      <c r="H508" s="6" t="s">
        <v>37</v>
      </c>
      <c r="I508" s="6" t="s">
        <v>23</v>
      </c>
      <c r="J508" s="6" t="s">
        <v>23</v>
      </c>
      <c r="K508" s="6" t="s">
        <v>28</v>
      </c>
      <c r="L508" s="6"/>
      <c r="M508" s="6" t="str">
        <f t="shared" si="7"/>
        <v>Below 30L</v>
      </c>
    </row>
    <row r="509" spans="1:13" x14ac:dyDescent="0.25">
      <c r="A509" s="6" t="s">
        <v>549</v>
      </c>
      <c r="B509" s="7">
        <v>46137.696701388886</v>
      </c>
      <c r="C509" s="6" t="s">
        <v>36</v>
      </c>
      <c r="D509" s="6" t="s">
        <v>1060</v>
      </c>
      <c r="E509" s="6" t="s">
        <v>15</v>
      </c>
      <c r="F509" s="10">
        <v>5933371</v>
      </c>
      <c r="G509" s="6">
        <v>3</v>
      </c>
      <c r="H509" s="6" t="s">
        <v>16</v>
      </c>
      <c r="I509" s="6" t="s">
        <v>17</v>
      </c>
      <c r="J509" s="6" t="s">
        <v>17</v>
      </c>
      <c r="K509" s="6" t="s">
        <v>24</v>
      </c>
      <c r="L509" s="6"/>
      <c r="M509" s="6" t="str">
        <f t="shared" si="7"/>
        <v>50L-80L</v>
      </c>
    </row>
    <row r="510" spans="1:13" x14ac:dyDescent="0.25">
      <c r="A510" s="6" t="s">
        <v>550</v>
      </c>
      <c r="B510" s="7">
        <v>46137.92292824074</v>
      </c>
      <c r="C510" s="6" t="s">
        <v>33</v>
      </c>
      <c r="D510" s="6" t="s">
        <v>1062</v>
      </c>
      <c r="E510" s="6" t="s">
        <v>27</v>
      </c>
      <c r="F510" s="10">
        <v>4575327</v>
      </c>
      <c r="G510" s="6">
        <v>1</v>
      </c>
      <c r="H510" s="6" t="s">
        <v>16</v>
      </c>
      <c r="I510" s="6" t="s">
        <v>23</v>
      </c>
      <c r="J510" s="6" t="s">
        <v>23</v>
      </c>
      <c r="K510" s="6" t="s">
        <v>28</v>
      </c>
      <c r="L510" s="6"/>
      <c r="M510" s="6" t="str">
        <f t="shared" si="7"/>
        <v>30L-50L</v>
      </c>
    </row>
    <row r="511" spans="1:13" x14ac:dyDescent="0.25">
      <c r="A511" s="6" t="s">
        <v>551</v>
      </c>
      <c r="B511" s="7">
        <v>46138.149143518516</v>
      </c>
      <c r="C511" s="6" t="s">
        <v>30</v>
      </c>
      <c r="D511" s="6" t="s">
        <v>1063</v>
      </c>
      <c r="E511" s="6" t="s">
        <v>27</v>
      </c>
      <c r="F511" s="10">
        <v>2164635</v>
      </c>
      <c r="G511" s="6">
        <v>4</v>
      </c>
      <c r="H511" s="6" t="s">
        <v>16</v>
      </c>
      <c r="I511" s="6" t="s">
        <v>17</v>
      </c>
      <c r="J511" s="6" t="s">
        <v>17</v>
      </c>
      <c r="K511" s="6" t="s">
        <v>24</v>
      </c>
      <c r="L511" s="6"/>
      <c r="M511" s="6" t="str">
        <f t="shared" si="7"/>
        <v>Below 30L</v>
      </c>
    </row>
    <row r="512" spans="1:13" x14ac:dyDescent="0.25">
      <c r="A512" s="6" t="s">
        <v>552</v>
      </c>
      <c r="B512" s="7">
        <v>46138.37537037037</v>
      </c>
      <c r="C512" s="6" t="s">
        <v>30</v>
      </c>
      <c r="D512" s="6" t="s">
        <v>1063</v>
      </c>
      <c r="E512" s="6" t="s">
        <v>15</v>
      </c>
      <c r="F512" s="10">
        <v>3668629</v>
      </c>
      <c r="G512" s="6">
        <v>2</v>
      </c>
      <c r="H512" s="6" t="s">
        <v>37</v>
      </c>
      <c r="I512" s="6" t="s">
        <v>23</v>
      </c>
      <c r="J512" s="6" t="s">
        <v>23</v>
      </c>
      <c r="K512" s="6" t="s">
        <v>28</v>
      </c>
      <c r="L512" s="6"/>
      <c r="M512" s="6" t="str">
        <f t="shared" si="7"/>
        <v>30L-50L</v>
      </c>
    </row>
    <row r="513" spans="1:13" x14ac:dyDescent="0.25">
      <c r="A513" s="6" t="s">
        <v>553</v>
      </c>
      <c r="B513" s="7">
        <v>46138.601597222223</v>
      </c>
      <c r="C513" s="6" t="s">
        <v>20</v>
      </c>
      <c r="D513" s="6" t="s">
        <v>1062</v>
      </c>
      <c r="E513" s="6" t="s">
        <v>27</v>
      </c>
      <c r="F513" s="10">
        <v>2883640</v>
      </c>
      <c r="G513" s="6">
        <v>2</v>
      </c>
      <c r="H513" s="6" t="s">
        <v>16</v>
      </c>
      <c r="I513" s="6" t="s">
        <v>17</v>
      </c>
      <c r="J513" s="6" t="s">
        <v>23</v>
      </c>
      <c r="K513" s="6" t="s">
        <v>24</v>
      </c>
      <c r="L513" s="6"/>
      <c r="M513" s="6" t="str">
        <f t="shared" si="7"/>
        <v>Below 30L</v>
      </c>
    </row>
    <row r="514" spans="1:13" x14ac:dyDescent="0.25">
      <c r="A514" s="6" t="s">
        <v>554</v>
      </c>
      <c r="B514" s="7">
        <v>46138.827824074076</v>
      </c>
      <c r="C514" s="6" t="s">
        <v>33</v>
      </c>
      <c r="D514" s="6" t="s">
        <v>1061</v>
      </c>
      <c r="E514" s="6" t="s">
        <v>15</v>
      </c>
      <c r="F514" s="10">
        <v>4917583</v>
      </c>
      <c r="G514" s="6">
        <v>4</v>
      </c>
      <c r="H514" s="6" t="s">
        <v>16</v>
      </c>
      <c r="I514" s="6" t="s">
        <v>17</v>
      </c>
      <c r="J514" s="6" t="s">
        <v>17</v>
      </c>
      <c r="K514" s="6" t="s">
        <v>18</v>
      </c>
      <c r="L514" s="6">
        <v>4550000</v>
      </c>
      <c r="M514" s="6" t="str">
        <f t="shared" ref="M514:M577" si="8">IF(F514&lt;3000000,"Below 30L",IF(F514&lt;5000000,"30L-50L",IF(F514&lt;8000000,"50L-80L",IF(F514&lt;12000000,"80L-1.2Cr","Above 1.2Cr"))))</f>
        <v>30L-50L</v>
      </c>
    </row>
    <row r="515" spans="1:13" x14ac:dyDescent="0.25">
      <c r="A515" s="6" t="s">
        <v>555</v>
      </c>
      <c r="B515" s="7">
        <v>46139.054050925923</v>
      </c>
      <c r="C515" s="6" t="s">
        <v>36</v>
      </c>
      <c r="D515" s="6" t="s">
        <v>1059</v>
      </c>
      <c r="E515" s="6" t="s">
        <v>15</v>
      </c>
      <c r="F515" s="10">
        <v>4642868</v>
      </c>
      <c r="G515" s="6">
        <v>2</v>
      </c>
      <c r="H515" s="6" t="s">
        <v>16</v>
      </c>
      <c r="I515" s="6" t="s">
        <v>17</v>
      </c>
      <c r="J515" s="6" t="s">
        <v>23</v>
      </c>
      <c r="K515" s="6" t="s">
        <v>24</v>
      </c>
      <c r="L515" s="6"/>
      <c r="M515" s="6" t="str">
        <f t="shared" si="8"/>
        <v>30L-50L</v>
      </c>
    </row>
    <row r="516" spans="1:13" x14ac:dyDescent="0.25">
      <c r="A516" s="6" t="s">
        <v>556</v>
      </c>
      <c r="B516" s="7">
        <v>46139.280277777776</v>
      </c>
      <c r="C516" s="6" t="s">
        <v>13</v>
      </c>
      <c r="D516" s="6" t="s">
        <v>1059</v>
      </c>
      <c r="E516" s="6" t="s">
        <v>22</v>
      </c>
      <c r="F516" s="10">
        <v>6685503</v>
      </c>
      <c r="G516" s="6">
        <v>3</v>
      </c>
      <c r="H516" s="6" t="s">
        <v>16</v>
      </c>
      <c r="I516" s="6" t="s">
        <v>17</v>
      </c>
      <c r="J516" s="6" t="s">
        <v>23</v>
      </c>
      <c r="K516" s="6" t="s">
        <v>24</v>
      </c>
      <c r="L516" s="6"/>
      <c r="M516" s="6" t="str">
        <f t="shared" si="8"/>
        <v>50L-80L</v>
      </c>
    </row>
    <row r="517" spans="1:13" x14ac:dyDescent="0.25">
      <c r="A517" s="6" t="s">
        <v>557</v>
      </c>
      <c r="B517" s="7">
        <v>46139.506504629629</v>
      </c>
      <c r="C517" s="6" t="s">
        <v>13</v>
      </c>
      <c r="D517" s="6" t="s">
        <v>1059</v>
      </c>
      <c r="E517" s="6" t="s">
        <v>27</v>
      </c>
      <c r="F517" s="10">
        <v>3337284</v>
      </c>
      <c r="G517" s="6">
        <v>2</v>
      </c>
      <c r="H517" s="6" t="s">
        <v>16</v>
      </c>
      <c r="I517" s="6" t="s">
        <v>23</v>
      </c>
      <c r="J517" s="6" t="s">
        <v>23</v>
      </c>
      <c r="K517" s="6" t="s">
        <v>28</v>
      </c>
      <c r="L517" s="6"/>
      <c r="M517" s="6" t="str">
        <f t="shared" si="8"/>
        <v>30L-50L</v>
      </c>
    </row>
    <row r="518" spans="1:13" x14ac:dyDescent="0.25">
      <c r="A518" s="6" t="s">
        <v>558</v>
      </c>
      <c r="B518" s="7">
        <v>46139.732731481483</v>
      </c>
      <c r="C518" s="6" t="s">
        <v>26</v>
      </c>
      <c r="D518" s="6" t="s">
        <v>1062</v>
      </c>
      <c r="E518" s="6" t="s">
        <v>15</v>
      </c>
      <c r="F518" s="10">
        <v>6208558</v>
      </c>
      <c r="G518" s="6">
        <v>2</v>
      </c>
      <c r="H518" s="6" t="s">
        <v>16</v>
      </c>
      <c r="I518" s="6" t="s">
        <v>17</v>
      </c>
      <c r="J518" s="6" t="s">
        <v>17</v>
      </c>
      <c r="K518" s="6" t="s">
        <v>24</v>
      </c>
      <c r="L518" s="6"/>
      <c r="M518" s="6" t="str">
        <f t="shared" si="8"/>
        <v>50L-80L</v>
      </c>
    </row>
    <row r="519" spans="1:13" x14ac:dyDescent="0.25">
      <c r="A519" s="6" t="s">
        <v>559</v>
      </c>
      <c r="B519" s="7">
        <v>46139.958958333336</v>
      </c>
      <c r="C519" s="6" t="s">
        <v>36</v>
      </c>
      <c r="D519" s="6" t="s">
        <v>1061</v>
      </c>
      <c r="E519" s="6" t="s">
        <v>15</v>
      </c>
      <c r="F519" s="10">
        <v>6002087</v>
      </c>
      <c r="G519" s="6">
        <v>3</v>
      </c>
      <c r="H519" s="6" t="s">
        <v>16</v>
      </c>
      <c r="I519" s="6" t="s">
        <v>17</v>
      </c>
      <c r="J519" s="6" t="s">
        <v>23</v>
      </c>
      <c r="K519" s="6" t="s">
        <v>24</v>
      </c>
      <c r="L519" s="6"/>
      <c r="M519" s="6" t="str">
        <f t="shared" si="8"/>
        <v>50L-80L</v>
      </c>
    </row>
    <row r="520" spans="1:13" x14ac:dyDescent="0.25">
      <c r="A520" s="6" t="s">
        <v>560</v>
      </c>
      <c r="B520" s="7">
        <v>46140.185185185182</v>
      </c>
      <c r="C520" s="6" t="s">
        <v>33</v>
      </c>
      <c r="D520" s="6" t="s">
        <v>1059</v>
      </c>
      <c r="E520" s="6" t="s">
        <v>22</v>
      </c>
      <c r="F520" s="10">
        <v>6633718</v>
      </c>
      <c r="G520" s="6">
        <v>1</v>
      </c>
      <c r="H520" s="6" t="s">
        <v>37</v>
      </c>
      <c r="I520" s="6" t="s">
        <v>23</v>
      </c>
      <c r="J520" s="6" t="s">
        <v>23</v>
      </c>
      <c r="K520" s="6" t="s">
        <v>28</v>
      </c>
      <c r="L520" s="6"/>
      <c r="M520" s="6" t="str">
        <f t="shared" si="8"/>
        <v>50L-80L</v>
      </c>
    </row>
    <row r="521" spans="1:13" x14ac:dyDescent="0.25">
      <c r="A521" s="6" t="s">
        <v>561</v>
      </c>
      <c r="B521" s="7">
        <v>46140.411412037036</v>
      </c>
      <c r="C521" s="6" t="s">
        <v>13</v>
      </c>
      <c r="D521" s="6" t="s">
        <v>1061</v>
      </c>
      <c r="E521" s="6" t="s">
        <v>22</v>
      </c>
      <c r="F521" s="10">
        <v>9078111</v>
      </c>
      <c r="G521" s="6">
        <v>2</v>
      </c>
      <c r="H521" s="6" t="s">
        <v>37</v>
      </c>
      <c r="I521" s="6" t="s">
        <v>17</v>
      </c>
      <c r="J521" s="6" t="s">
        <v>23</v>
      </c>
      <c r="K521" s="6" t="s">
        <v>24</v>
      </c>
      <c r="L521" s="6"/>
      <c r="M521" s="6" t="str">
        <f t="shared" si="8"/>
        <v>80L-1.2Cr</v>
      </c>
    </row>
    <row r="522" spans="1:13" x14ac:dyDescent="0.25">
      <c r="A522" s="6" t="s">
        <v>562</v>
      </c>
      <c r="B522" s="7">
        <v>46140.637638888889</v>
      </c>
      <c r="C522" s="6" t="s">
        <v>30</v>
      </c>
      <c r="D522" s="6" t="s">
        <v>1059</v>
      </c>
      <c r="E522" s="6" t="s">
        <v>22</v>
      </c>
      <c r="F522" s="10">
        <v>14710865</v>
      </c>
      <c r="G522" s="6">
        <v>1</v>
      </c>
      <c r="H522" s="6" t="s">
        <v>37</v>
      </c>
      <c r="I522" s="6" t="s">
        <v>23</v>
      </c>
      <c r="J522" s="6" t="s">
        <v>23</v>
      </c>
      <c r="K522" s="6" t="s">
        <v>28</v>
      </c>
      <c r="L522" s="6"/>
      <c r="M522" s="6" t="str">
        <f t="shared" si="8"/>
        <v>Above 1.2Cr</v>
      </c>
    </row>
    <row r="523" spans="1:13" x14ac:dyDescent="0.25">
      <c r="A523" s="6" t="s">
        <v>563</v>
      </c>
      <c r="B523" s="7">
        <v>46140.863865740743</v>
      </c>
      <c r="C523" s="6" t="s">
        <v>26</v>
      </c>
      <c r="D523" s="6" t="s">
        <v>1061</v>
      </c>
      <c r="E523" s="6" t="s">
        <v>15</v>
      </c>
      <c r="F523" s="10">
        <v>4649396</v>
      </c>
      <c r="G523" s="6">
        <v>3</v>
      </c>
      <c r="H523" s="6" t="s">
        <v>16</v>
      </c>
      <c r="I523" s="6" t="s">
        <v>23</v>
      </c>
      <c r="J523" s="6" t="s">
        <v>23</v>
      </c>
      <c r="K523" s="6" t="s">
        <v>28</v>
      </c>
      <c r="L523" s="6"/>
      <c r="M523" s="6" t="str">
        <f t="shared" si="8"/>
        <v>30L-50L</v>
      </c>
    </row>
    <row r="524" spans="1:13" x14ac:dyDescent="0.25">
      <c r="A524" s="6" t="s">
        <v>564</v>
      </c>
      <c r="B524" s="7">
        <v>46141.090092592596</v>
      </c>
      <c r="C524" s="6" t="s">
        <v>33</v>
      </c>
      <c r="D524" s="6" t="s">
        <v>21</v>
      </c>
      <c r="E524" s="6" t="s">
        <v>15</v>
      </c>
      <c r="F524" s="10">
        <v>6113728</v>
      </c>
      <c r="G524" s="6">
        <v>5</v>
      </c>
      <c r="H524" s="6" t="s">
        <v>37</v>
      </c>
      <c r="I524" s="6" t="s">
        <v>23</v>
      </c>
      <c r="J524" s="6" t="s">
        <v>23</v>
      </c>
      <c r="K524" s="6" t="s">
        <v>28</v>
      </c>
      <c r="L524" s="6"/>
      <c r="M524" s="6" t="str">
        <f t="shared" si="8"/>
        <v>50L-80L</v>
      </c>
    </row>
    <row r="525" spans="1:13" x14ac:dyDescent="0.25">
      <c r="A525" s="6" t="s">
        <v>565</v>
      </c>
      <c r="B525" s="7">
        <v>46141.316319444442</v>
      </c>
      <c r="C525" s="6" t="s">
        <v>36</v>
      </c>
      <c r="D525" s="6" t="s">
        <v>1059</v>
      </c>
      <c r="E525" s="6" t="s">
        <v>15</v>
      </c>
      <c r="F525" s="10">
        <v>7435784</v>
      </c>
      <c r="G525" s="6">
        <v>6</v>
      </c>
      <c r="H525" s="6" t="s">
        <v>16</v>
      </c>
      <c r="I525" s="6" t="s">
        <v>23</v>
      </c>
      <c r="J525" s="6" t="s">
        <v>23</v>
      </c>
      <c r="K525" s="6" t="s">
        <v>28</v>
      </c>
      <c r="L525" s="6"/>
      <c r="M525" s="6" t="str">
        <f t="shared" si="8"/>
        <v>50L-80L</v>
      </c>
    </row>
    <row r="526" spans="1:13" x14ac:dyDescent="0.25">
      <c r="A526" s="6" t="s">
        <v>566</v>
      </c>
      <c r="B526" s="7">
        <v>46141.542546296296</v>
      </c>
      <c r="C526" s="6" t="s">
        <v>36</v>
      </c>
      <c r="D526" s="6" t="s">
        <v>1060</v>
      </c>
      <c r="E526" s="6" t="s">
        <v>27</v>
      </c>
      <c r="F526" s="10">
        <v>2309340</v>
      </c>
      <c r="G526" s="6">
        <v>2</v>
      </c>
      <c r="H526" s="6" t="s">
        <v>37</v>
      </c>
      <c r="I526" s="6" t="s">
        <v>23</v>
      </c>
      <c r="J526" s="6" t="s">
        <v>23</v>
      </c>
      <c r="K526" s="6" t="s">
        <v>28</v>
      </c>
      <c r="L526" s="6"/>
      <c r="M526" s="6" t="str">
        <f t="shared" si="8"/>
        <v>Below 30L</v>
      </c>
    </row>
    <row r="527" spans="1:13" x14ac:dyDescent="0.25">
      <c r="A527" s="6" t="s">
        <v>567</v>
      </c>
      <c r="B527" s="7">
        <v>46141.768773148149</v>
      </c>
      <c r="C527" s="6" t="s">
        <v>20</v>
      </c>
      <c r="D527" s="6" t="s">
        <v>1059</v>
      </c>
      <c r="E527" s="6" t="s">
        <v>15</v>
      </c>
      <c r="F527" s="10">
        <v>4492017</v>
      </c>
      <c r="G527" s="6">
        <v>2</v>
      </c>
      <c r="H527" s="6" t="s">
        <v>37</v>
      </c>
      <c r="I527" s="6" t="s">
        <v>23</v>
      </c>
      <c r="J527" s="6" t="s">
        <v>23</v>
      </c>
      <c r="K527" s="6" t="s">
        <v>28</v>
      </c>
      <c r="L527" s="6"/>
      <c r="M527" s="6" t="str">
        <f t="shared" si="8"/>
        <v>30L-50L</v>
      </c>
    </row>
    <row r="528" spans="1:13" x14ac:dyDescent="0.25">
      <c r="A528" s="6" t="s">
        <v>568</v>
      </c>
      <c r="B528" s="7">
        <v>46141.995000000003</v>
      </c>
      <c r="C528" s="6" t="s">
        <v>20</v>
      </c>
      <c r="D528" s="6" t="s">
        <v>21</v>
      </c>
      <c r="E528" s="6" t="s">
        <v>15</v>
      </c>
      <c r="F528" s="10">
        <v>3122019</v>
      </c>
      <c r="G528" s="6">
        <v>2</v>
      </c>
      <c r="H528" s="6" t="s">
        <v>16</v>
      </c>
      <c r="I528" s="6" t="s">
        <v>17</v>
      </c>
      <c r="J528" s="6" t="s">
        <v>17</v>
      </c>
      <c r="K528" s="6" t="s">
        <v>18</v>
      </c>
      <c r="L528" s="6">
        <v>3200000</v>
      </c>
      <c r="M528" s="6" t="str">
        <f t="shared" si="8"/>
        <v>30L-50L</v>
      </c>
    </row>
    <row r="529" spans="1:13" x14ac:dyDescent="0.25">
      <c r="A529" s="6" t="s">
        <v>569</v>
      </c>
      <c r="B529" s="7">
        <v>46142.221226851849</v>
      </c>
      <c r="C529" s="6" t="s">
        <v>26</v>
      </c>
      <c r="D529" s="6" t="s">
        <v>21</v>
      </c>
      <c r="E529" s="6" t="s">
        <v>27</v>
      </c>
      <c r="F529" s="10">
        <v>1679001</v>
      </c>
      <c r="G529" s="6">
        <v>4</v>
      </c>
      <c r="H529" s="6" t="s">
        <v>16</v>
      </c>
      <c r="I529" s="6" t="s">
        <v>17</v>
      </c>
      <c r="J529" s="6" t="s">
        <v>17</v>
      </c>
      <c r="K529" s="6" t="s">
        <v>24</v>
      </c>
      <c r="L529" s="6"/>
      <c r="M529" s="6" t="str">
        <f t="shared" si="8"/>
        <v>Below 30L</v>
      </c>
    </row>
    <row r="530" spans="1:13" x14ac:dyDescent="0.25">
      <c r="A530" s="6" t="s">
        <v>570</v>
      </c>
      <c r="B530" s="7">
        <v>46142.447442129633</v>
      </c>
      <c r="C530" s="6" t="s">
        <v>13</v>
      </c>
      <c r="D530" s="6" t="s">
        <v>1063</v>
      </c>
      <c r="E530" s="6" t="s">
        <v>15</v>
      </c>
      <c r="F530" s="10">
        <v>5648837</v>
      </c>
      <c r="G530" s="6">
        <v>1</v>
      </c>
      <c r="H530" s="6" t="s">
        <v>16</v>
      </c>
      <c r="I530" s="6" t="s">
        <v>17</v>
      </c>
      <c r="J530" s="6" t="s">
        <v>23</v>
      </c>
      <c r="K530" s="6" t="s">
        <v>24</v>
      </c>
      <c r="L530" s="6"/>
      <c r="M530" s="6" t="str">
        <f t="shared" si="8"/>
        <v>50L-80L</v>
      </c>
    </row>
    <row r="531" spans="1:13" x14ac:dyDescent="0.25">
      <c r="A531" s="6" t="s">
        <v>571</v>
      </c>
      <c r="B531" s="7">
        <v>46142.673668981479</v>
      </c>
      <c r="C531" s="6" t="s">
        <v>36</v>
      </c>
      <c r="D531" s="6" t="s">
        <v>1060</v>
      </c>
      <c r="E531" s="6" t="s">
        <v>27</v>
      </c>
      <c r="F531" s="10">
        <v>2529870</v>
      </c>
      <c r="G531" s="6">
        <v>6</v>
      </c>
      <c r="H531" s="6" t="s">
        <v>16</v>
      </c>
      <c r="I531" s="6" t="s">
        <v>23</v>
      </c>
      <c r="J531" s="6" t="s">
        <v>23</v>
      </c>
      <c r="K531" s="6" t="s">
        <v>28</v>
      </c>
      <c r="L531" s="6"/>
      <c r="M531" s="6" t="str">
        <f t="shared" si="8"/>
        <v>Below 30L</v>
      </c>
    </row>
    <row r="532" spans="1:13" x14ac:dyDescent="0.25">
      <c r="A532" s="6" t="s">
        <v>572</v>
      </c>
      <c r="B532" s="7">
        <v>46142.899895833332</v>
      </c>
      <c r="C532" s="6" t="s">
        <v>36</v>
      </c>
      <c r="D532" s="6" t="s">
        <v>21</v>
      </c>
      <c r="E532" s="6" t="s">
        <v>22</v>
      </c>
      <c r="F532" s="10">
        <v>8416826</v>
      </c>
      <c r="G532" s="6">
        <v>2</v>
      </c>
      <c r="H532" s="6" t="s">
        <v>16</v>
      </c>
      <c r="I532" s="6" t="s">
        <v>17</v>
      </c>
      <c r="J532" s="6" t="s">
        <v>17</v>
      </c>
      <c r="K532" s="6" t="s">
        <v>24</v>
      </c>
      <c r="L532" s="6"/>
      <c r="M532" s="6" t="str">
        <f t="shared" si="8"/>
        <v>80L-1.2Cr</v>
      </c>
    </row>
    <row r="533" spans="1:13" x14ac:dyDescent="0.25">
      <c r="A533" s="6" t="s">
        <v>573</v>
      </c>
      <c r="B533" s="7">
        <v>46143.126122685186</v>
      </c>
      <c r="C533" s="6" t="s">
        <v>33</v>
      </c>
      <c r="D533" s="6" t="s">
        <v>1062</v>
      </c>
      <c r="E533" s="6" t="s">
        <v>27</v>
      </c>
      <c r="F533" s="10">
        <v>1596143</v>
      </c>
      <c r="G533" s="6">
        <v>6</v>
      </c>
      <c r="H533" s="6" t="s">
        <v>16</v>
      </c>
      <c r="I533" s="6" t="s">
        <v>23</v>
      </c>
      <c r="J533" s="6" t="s">
        <v>23</v>
      </c>
      <c r="K533" s="6" t="s">
        <v>28</v>
      </c>
      <c r="L533" s="6"/>
      <c r="M533" s="6" t="str">
        <f t="shared" si="8"/>
        <v>Below 30L</v>
      </c>
    </row>
    <row r="534" spans="1:13" x14ac:dyDescent="0.25">
      <c r="A534" s="6" t="s">
        <v>574</v>
      </c>
      <c r="B534" s="7">
        <v>46143.352349537039</v>
      </c>
      <c r="C534" s="6" t="s">
        <v>33</v>
      </c>
      <c r="D534" s="6" t="s">
        <v>1062</v>
      </c>
      <c r="E534" s="6" t="s">
        <v>15</v>
      </c>
      <c r="F534" s="10">
        <v>4020332</v>
      </c>
      <c r="G534" s="6">
        <v>4</v>
      </c>
      <c r="H534" s="6" t="s">
        <v>16</v>
      </c>
      <c r="I534" s="6" t="s">
        <v>23</v>
      </c>
      <c r="J534" s="6" t="s">
        <v>23</v>
      </c>
      <c r="K534" s="6" t="s">
        <v>18</v>
      </c>
      <c r="L534" s="6">
        <v>3750000</v>
      </c>
      <c r="M534" s="6" t="str">
        <f t="shared" si="8"/>
        <v>30L-50L</v>
      </c>
    </row>
    <row r="535" spans="1:13" x14ac:dyDescent="0.25">
      <c r="A535" s="6" t="s">
        <v>575</v>
      </c>
      <c r="B535" s="7">
        <v>46143.578576388885</v>
      </c>
      <c r="C535" s="6" t="s">
        <v>20</v>
      </c>
      <c r="D535" s="6" t="s">
        <v>1059</v>
      </c>
      <c r="E535" s="6" t="s">
        <v>15</v>
      </c>
      <c r="F535" s="10">
        <v>3900959</v>
      </c>
      <c r="G535" s="6">
        <v>4</v>
      </c>
      <c r="H535" s="6" t="s">
        <v>16</v>
      </c>
      <c r="I535" s="6" t="s">
        <v>17</v>
      </c>
      <c r="J535" s="6" t="s">
        <v>17</v>
      </c>
      <c r="K535" s="6" t="s">
        <v>18</v>
      </c>
      <c r="L535" s="6">
        <v>3900000</v>
      </c>
      <c r="M535" s="6" t="str">
        <f t="shared" si="8"/>
        <v>30L-50L</v>
      </c>
    </row>
    <row r="536" spans="1:13" x14ac:dyDescent="0.25">
      <c r="A536" s="6" t="s">
        <v>576</v>
      </c>
      <c r="B536" s="7">
        <v>46143.804803240739</v>
      </c>
      <c r="C536" s="6" t="s">
        <v>36</v>
      </c>
      <c r="D536" s="6" t="s">
        <v>21</v>
      </c>
      <c r="E536" s="6" t="s">
        <v>22</v>
      </c>
      <c r="F536" s="10">
        <v>13717535</v>
      </c>
      <c r="G536" s="6">
        <v>2</v>
      </c>
      <c r="H536" s="6" t="s">
        <v>16</v>
      </c>
      <c r="I536" s="6" t="s">
        <v>23</v>
      </c>
      <c r="J536" s="6" t="s">
        <v>23</v>
      </c>
      <c r="K536" s="6" t="s">
        <v>28</v>
      </c>
      <c r="L536" s="6"/>
      <c r="M536" s="6" t="str">
        <f t="shared" si="8"/>
        <v>Above 1.2Cr</v>
      </c>
    </row>
    <row r="537" spans="1:13" x14ac:dyDescent="0.25">
      <c r="A537" s="6" t="s">
        <v>577</v>
      </c>
      <c r="B537" s="7">
        <v>46144.031030092592</v>
      </c>
      <c r="C537" s="6" t="s">
        <v>33</v>
      </c>
      <c r="D537" s="6" t="s">
        <v>1059</v>
      </c>
      <c r="E537" s="6" t="s">
        <v>27</v>
      </c>
      <c r="F537" s="10">
        <v>2839527</v>
      </c>
      <c r="G537" s="6">
        <v>1</v>
      </c>
      <c r="H537" s="6" t="s">
        <v>16</v>
      </c>
      <c r="I537" s="6" t="s">
        <v>17</v>
      </c>
      <c r="J537" s="6" t="s">
        <v>23</v>
      </c>
      <c r="K537" s="6" t="s">
        <v>24</v>
      </c>
      <c r="L537" s="6"/>
      <c r="M537" s="6" t="str">
        <f t="shared" si="8"/>
        <v>Below 30L</v>
      </c>
    </row>
    <row r="538" spans="1:13" x14ac:dyDescent="0.25">
      <c r="A538" s="6" t="s">
        <v>578</v>
      </c>
      <c r="B538" s="7">
        <v>46144.257256944446</v>
      </c>
      <c r="C538" s="6" t="s">
        <v>36</v>
      </c>
      <c r="D538" s="6" t="s">
        <v>1059</v>
      </c>
      <c r="E538" s="6" t="s">
        <v>22</v>
      </c>
      <c r="F538" s="10">
        <v>8676299</v>
      </c>
      <c r="G538" s="6">
        <v>2</v>
      </c>
      <c r="H538" s="6" t="s">
        <v>37</v>
      </c>
      <c r="I538" s="6" t="s">
        <v>23</v>
      </c>
      <c r="J538" s="6" t="s">
        <v>23</v>
      </c>
      <c r="K538" s="6" t="s">
        <v>28</v>
      </c>
      <c r="L538" s="6"/>
      <c r="M538" s="6" t="str">
        <f t="shared" si="8"/>
        <v>80L-1.2Cr</v>
      </c>
    </row>
    <row r="539" spans="1:13" x14ac:dyDescent="0.25">
      <c r="A539" s="6" t="s">
        <v>579</v>
      </c>
      <c r="B539" s="7">
        <v>46144.483483796299</v>
      </c>
      <c r="C539" s="6" t="s">
        <v>26</v>
      </c>
      <c r="D539" s="6" t="s">
        <v>1062</v>
      </c>
      <c r="E539" s="6" t="s">
        <v>15</v>
      </c>
      <c r="F539" s="10">
        <v>3265702</v>
      </c>
      <c r="G539" s="6">
        <v>2</v>
      </c>
      <c r="H539" s="6" t="s">
        <v>16</v>
      </c>
      <c r="I539" s="6" t="s">
        <v>23</v>
      </c>
      <c r="J539" s="6" t="s">
        <v>23</v>
      </c>
      <c r="K539" s="6" t="s">
        <v>28</v>
      </c>
      <c r="L539" s="6"/>
      <c r="M539" s="6" t="str">
        <f t="shared" si="8"/>
        <v>30L-50L</v>
      </c>
    </row>
    <row r="540" spans="1:13" x14ac:dyDescent="0.25">
      <c r="A540" s="6" t="s">
        <v>580</v>
      </c>
      <c r="B540" s="7">
        <v>46144.709710648145</v>
      </c>
      <c r="C540" s="6" t="s">
        <v>20</v>
      </c>
      <c r="D540" s="6" t="s">
        <v>1059</v>
      </c>
      <c r="E540" s="6" t="s">
        <v>22</v>
      </c>
      <c r="F540" s="10">
        <v>7888007</v>
      </c>
      <c r="G540" s="6">
        <v>1</v>
      </c>
      <c r="H540" s="6" t="s">
        <v>37</v>
      </c>
      <c r="I540" s="6" t="s">
        <v>17</v>
      </c>
      <c r="J540" s="6" t="s">
        <v>23</v>
      </c>
      <c r="K540" s="6" t="s">
        <v>24</v>
      </c>
      <c r="L540" s="6"/>
      <c r="M540" s="6" t="str">
        <f t="shared" si="8"/>
        <v>50L-80L</v>
      </c>
    </row>
    <row r="541" spans="1:13" x14ac:dyDescent="0.25">
      <c r="A541" s="6" t="s">
        <v>581</v>
      </c>
      <c r="B541" s="7">
        <v>46144.935937499999</v>
      </c>
      <c r="C541" s="6" t="s">
        <v>13</v>
      </c>
      <c r="D541" s="6" t="s">
        <v>1060</v>
      </c>
      <c r="E541" s="6" t="s">
        <v>22</v>
      </c>
      <c r="F541" s="10">
        <v>7739122</v>
      </c>
      <c r="G541" s="6">
        <v>3</v>
      </c>
      <c r="H541" s="6" t="s">
        <v>16</v>
      </c>
      <c r="I541" s="6" t="s">
        <v>17</v>
      </c>
      <c r="J541" s="6" t="s">
        <v>23</v>
      </c>
      <c r="K541" s="6" t="s">
        <v>24</v>
      </c>
      <c r="L541" s="6"/>
      <c r="M541" s="6" t="str">
        <f t="shared" si="8"/>
        <v>50L-80L</v>
      </c>
    </row>
    <row r="542" spans="1:13" x14ac:dyDescent="0.25">
      <c r="A542" s="6" t="s">
        <v>582</v>
      </c>
      <c r="B542" s="7">
        <v>46145.162164351852</v>
      </c>
      <c r="C542" s="6" t="s">
        <v>33</v>
      </c>
      <c r="D542" s="6" t="s">
        <v>1062</v>
      </c>
      <c r="E542" s="6" t="s">
        <v>22</v>
      </c>
      <c r="F542" s="10">
        <v>6775292</v>
      </c>
      <c r="G542" s="6">
        <v>2</v>
      </c>
      <c r="H542" s="6" t="s">
        <v>16</v>
      </c>
      <c r="I542" s="6" t="s">
        <v>17</v>
      </c>
      <c r="J542" s="6" t="s">
        <v>17</v>
      </c>
      <c r="K542" s="6" t="s">
        <v>18</v>
      </c>
      <c r="L542" s="6">
        <v>6250000</v>
      </c>
      <c r="M542" s="6" t="str">
        <f t="shared" si="8"/>
        <v>50L-80L</v>
      </c>
    </row>
    <row r="543" spans="1:13" x14ac:dyDescent="0.25">
      <c r="A543" s="6" t="s">
        <v>583</v>
      </c>
      <c r="B543" s="7">
        <v>46145.388391203705</v>
      </c>
      <c r="C543" s="6" t="s">
        <v>30</v>
      </c>
      <c r="D543" s="6" t="s">
        <v>1059</v>
      </c>
      <c r="E543" s="6" t="s">
        <v>22</v>
      </c>
      <c r="F543" s="10">
        <v>10878526</v>
      </c>
      <c r="G543" s="6">
        <v>3</v>
      </c>
      <c r="H543" s="6" t="s">
        <v>37</v>
      </c>
      <c r="I543" s="6" t="s">
        <v>23</v>
      </c>
      <c r="J543" s="6" t="s">
        <v>23</v>
      </c>
      <c r="K543" s="6" t="s">
        <v>28</v>
      </c>
      <c r="L543" s="6"/>
      <c r="M543" s="6" t="str">
        <f t="shared" si="8"/>
        <v>80L-1.2Cr</v>
      </c>
    </row>
    <row r="544" spans="1:13" x14ac:dyDescent="0.25">
      <c r="A544" s="6" t="s">
        <v>584</v>
      </c>
      <c r="B544" s="7">
        <v>46145.614618055559</v>
      </c>
      <c r="C544" s="6" t="s">
        <v>26</v>
      </c>
      <c r="D544" s="6" t="s">
        <v>1060</v>
      </c>
      <c r="E544" s="6" t="s">
        <v>27</v>
      </c>
      <c r="F544" s="10">
        <v>3189074</v>
      </c>
      <c r="G544" s="6">
        <v>3</v>
      </c>
      <c r="H544" s="6" t="s">
        <v>16</v>
      </c>
      <c r="I544" s="6" t="s">
        <v>23</v>
      </c>
      <c r="J544" s="6" t="s">
        <v>17</v>
      </c>
      <c r="K544" s="6" t="s">
        <v>18</v>
      </c>
      <c r="L544" s="6">
        <v>3300000</v>
      </c>
      <c r="M544" s="6" t="str">
        <f t="shared" si="8"/>
        <v>30L-50L</v>
      </c>
    </row>
    <row r="545" spans="1:13" x14ac:dyDescent="0.25">
      <c r="A545" s="6" t="s">
        <v>585</v>
      </c>
      <c r="B545" s="7">
        <v>46145.840844907405</v>
      </c>
      <c r="C545" s="6" t="s">
        <v>30</v>
      </c>
      <c r="D545" s="6" t="s">
        <v>1059</v>
      </c>
      <c r="E545" s="6" t="s">
        <v>22</v>
      </c>
      <c r="F545" s="10">
        <v>6219707</v>
      </c>
      <c r="G545" s="6">
        <v>1</v>
      </c>
      <c r="H545" s="6" t="s">
        <v>16</v>
      </c>
      <c r="I545" s="6" t="s">
        <v>17</v>
      </c>
      <c r="J545" s="6" t="s">
        <v>17</v>
      </c>
      <c r="K545" s="6" t="s">
        <v>24</v>
      </c>
      <c r="L545" s="6"/>
      <c r="M545" s="6" t="str">
        <f t="shared" si="8"/>
        <v>50L-80L</v>
      </c>
    </row>
    <row r="546" spans="1:13" x14ac:dyDescent="0.25">
      <c r="A546" s="6" t="s">
        <v>586</v>
      </c>
      <c r="B546" s="7">
        <v>46146.067071759258</v>
      </c>
      <c r="C546" s="6" t="s">
        <v>30</v>
      </c>
      <c r="D546" s="6" t="s">
        <v>1061</v>
      </c>
      <c r="E546" s="6" t="s">
        <v>15</v>
      </c>
      <c r="F546" s="10">
        <v>3171389</v>
      </c>
      <c r="G546" s="6">
        <v>6</v>
      </c>
      <c r="H546" s="6" t="s">
        <v>16</v>
      </c>
      <c r="I546" s="6" t="s">
        <v>17</v>
      </c>
      <c r="J546" s="6" t="s">
        <v>17</v>
      </c>
      <c r="K546" s="6" t="s">
        <v>18</v>
      </c>
      <c r="L546" s="6">
        <v>3000000</v>
      </c>
      <c r="M546" s="6" t="str">
        <f t="shared" si="8"/>
        <v>30L-50L</v>
      </c>
    </row>
    <row r="547" spans="1:13" x14ac:dyDescent="0.25">
      <c r="A547" s="6" t="s">
        <v>587</v>
      </c>
      <c r="B547" s="7">
        <v>46146.293298611112</v>
      </c>
      <c r="C547" s="6" t="s">
        <v>26</v>
      </c>
      <c r="D547" s="6" t="s">
        <v>1060</v>
      </c>
      <c r="E547" s="6" t="s">
        <v>15</v>
      </c>
      <c r="F547" s="10">
        <v>4059165</v>
      </c>
      <c r="G547" s="6">
        <v>1</v>
      </c>
      <c r="H547" s="6" t="s">
        <v>16</v>
      </c>
      <c r="I547" s="6" t="s">
        <v>17</v>
      </c>
      <c r="J547" s="6" t="s">
        <v>23</v>
      </c>
      <c r="K547" s="6" t="s">
        <v>24</v>
      </c>
      <c r="L547" s="6"/>
      <c r="M547" s="6" t="str">
        <f t="shared" si="8"/>
        <v>30L-50L</v>
      </c>
    </row>
    <row r="548" spans="1:13" x14ac:dyDescent="0.25">
      <c r="A548" s="6" t="s">
        <v>588</v>
      </c>
      <c r="B548" s="7">
        <v>46146.519513888888</v>
      </c>
      <c r="C548" s="6" t="s">
        <v>13</v>
      </c>
      <c r="D548" s="6" t="s">
        <v>1063</v>
      </c>
      <c r="E548" s="6" t="s">
        <v>15</v>
      </c>
      <c r="F548" s="10">
        <v>6336666</v>
      </c>
      <c r="G548" s="6">
        <v>2</v>
      </c>
      <c r="H548" s="6" t="s">
        <v>16</v>
      </c>
      <c r="I548" s="6" t="s">
        <v>17</v>
      </c>
      <c r="J548" s="6" t="s">
        <v>17</v>
      </c>
      <c r="K548" s="6" t="s">
        <v>18</v>
      </c>
      <c r="L548" s="6">
        <v>6250000</v>
      </c>
      <c r="M548" s="6" t="str">
        <f t="shared" si="8"/>
        <v>50L-80L</v>
      </c>
    </row>
    <row r="549" spans="1:13" x14ac:dyDescent="0.25">
      <c r="A549" s="6" t="s">
        <v>589</v>
      </c>
      <c r="B549" s="7">
        <v>46146.745740740742</v>
      </c>
      <c r="C549" s="6" t="s">
        <v>30</v>
      </c>
      <c r="D549" s="6" t="s">
        <v>1060</v>
      </c>
      <c r="E549" s="6" t="s">
        <v>15</v>
      </c>
      <c r="F549" s="10">
        <v>3825963</v>
      </c>
      <c r="G549" s="6">
        <v>2</v>
      </c>
      <c r="H549" s="6" t="s">
        <v>16</v>
      </c>
      <c r="I549" s="6" t="s">
        <v>17</v>
      </c>
      <c r="J549" s="6" t="s">
        <v>23</v>
      </c>
      <c r="K549" s="6" t="s">
        <v>24</v>
      </c>
      <c r="L549" s="6"/>
      <c r="M549" s="6" t="str">
        <f t="shared" si="8"/>
        <v>30L-50L</v>
      </c>
    </row>
    <row r="550" spans="1:13" x14ac:dyDescent="0.25">
      <c r="A550" s="6" t="s">
        <v>590</v>
      </c>
      <c r="B550" s="7">
        <v>46146.971967592595</v>
      </c>
      <c r="C550" s="6" t="s">
        <v>20</v>
      </c>
      <c r="D550" s="6" t="s">
        <v>1059</v>
      </c>
      <c r="E550" s="6" t="s">
        <v>15</v>
      </c>
      <c r="F550" s="10">
        <v>3093078</v>
      </c>
      <c r="G550" s="6">
        <v>4</v>
      </c>
      <c r="H550" s="6" t="s">
        <v>16</v>
      </c>
      <c r="I550" s="6" t="s">
        <v>17</v>
      </c>
      <c r="J550" s="6" t="s">
        <v>17</v>
      </c>
      <c r="K550" s="6" t="s">
        <v>18</v>
      </c>
      <c r="L550" s="6">
        <v>2950000</v>
      </c>
      <c r="M550" s="6" t="str">
        <f t="shared" si="8"/>
        <v>30L-50L</v>
      </c>
    </row>
    <row r="551" spans="1:13" x14ac:dyDescent="0.25">
      <c r="A551" s="6" t="s">
        <v>591</v>
      </c>
      <c r="B551" s="7">
        <v>46147.198194444441</v>
      </c>
      <c r="C551" s="6" t="s">
        <v>36</v>
      </c>
      <c r="D551" s="6" t="s">
        <v>1062</v>
      </c>
      <c r="E551" s="6" t="s">
        <v>15</v>
      </c>
      <c r="F551" s="10">
        <v>5259402</v>
      </c>
      <c r="G551" s="6">
        <v>1</v>
      </c>
      <c r="H551" s="6" t="s">
        <v>16</v>
      </c>
      <c r="I551" s="6" t="s">
        <v>17</v>
      </c>
      <c r="J551" s="6" t="s">
        <v>17</v>
      </c>
      <c r="K551" s="6" t="s">
        <v>18</v>
      </c>
      <c r="L551" s="6">
        <v>5350000</v>
      </c>
      <c r="M551" s="6" t="str">
        <f t="shared" si="8"/>
        <v>50L-80L</v>
      </c>
    </row>
    <row r="552" spans="1:13" x14ac:dyDescent="0.25">
      <c r="A552" s="6" t="s">
        <v>592</v>
      </c>
      <c r="B552" s="7">
        <v>46147.424421296295</v>
      </c>
      <c r="C552" s="6" t="s">
        <v>20</v>
      </c>
      <c r="D552" s="6" t="s">
        <v>1061</v>
      </c>
      <c r="E552" s="6" t="s">
        <v>15</v>
      </c>
      <c r="F552" s="10">
        <v>5074888</v>
      </c>
      <c r="G552" s="6">
        <v>2</v>
      </c>
      <c r="H552" s="6" t="s">
        <v>16</v>
      </c>
      <c r="I552" s="6" t="s">
        <v>17</v>
      </c>
      <c r="J552" s="6" t="s">
        <v>23</v>
      </c>
      <c r="K552" s="6" t="s">
        <v>24</v>
      </c>
      <c r="L552" s="6"/>
      <c r="M552" s="6" t="str">
        <f t="shared" si="8"/>
        <v>50L-80L</v>
      </c>
    </row>
    <row r="553" spans="1:13" x14ac:dyDescent="0.25">
      <c r="A553" s="6" t="s">
        <v>593</v>
      </c>
      <c r="B553" s="7">
        <v>46147.650648148148</v>
      </c>
      <c r="C553" s="6" t="s">
        <v>36</v>
      </c>
      <c r="D553" s="6" t="s">
        <v>1062</v>
      </c>
      <c r="E553" s="6" t="s">
        <v>15</v>
      </c>
      <c r="F553" s="10">
        <v>6470633</v>
      </c>
      <c r="G553" s="6">
        <v>3</v>
      </c>
      <c r="H553" s="6" t="s">
        <v>16</v>
      </c>
      <c r="I553" s="6" t="s">
        <v>23</v>
      </c>
      <c r="J553" s="6" t="s">
        <v>23</v>
      </c>
      <c r="K553" s="6" t="s">
        <v>28</v>
      </c>
      <c r="L553" s="6"/>
      <c r="M553" s="6" t="str">
        <f t="shared" si="8"/>
        <v>50L-80L</v>
      </c>
    </row>
    <row r="554" spans="1:13" x14ac:dyDescent="0.25">
      <c r="A554" s="6" t="s">
        <v>594</v>
      </c>
      <c r="B554" s="7">
        <v>46147.876875000002</v>
      </c>
      <c r="C554" s="6" t="s">
        <v>20</v>
      </c>
      <c r="D554" s="6" t="s">
        <v>1063</v>
      </c>
      <c r="E554" s="6" t="s">
        <v>27</v>
      </c>
      <c r="F554" s="10">
        <v>2738227</v>
      </c>
      <c r="G554" s="6">
        <v>1</v>
      </c>
      <c r="H554" s="6" t="s">
        <v>16</v>
      </c>
      <c r="I554" s="6" t="s">
        <v>17</v>
      </c>
      <c r="J554" s="6" t="s">
        <v>17</v>
      </c>
      <c r="K554" s="6" t="s">
        <v>18</v>
      </c>
      <c r="L554" s="6">
        <v>2650000</v>
      </c>
      <c r="M554" s="6" t="str">
        <f t="shared" si="8"/>
        <v>Below 30L</v>
      </c>
    </row>
    <row r="555" spans="1:13" x14ac:dyDescent="0.25">
      <c r="A555" s="6" t="s">
        <v>595</v>
      </c>
      <c r="B555" s="7">
        <v>46148.103101851855</v>
      </c>
      <c r="C555" s="6" t="s">
        <v>20</v>
      </c>
      <c r="D555" s="6" t="s">
        <v>1061</v>
      </c>
      <c r="E555" s="6" t="s">
        <v>27</v>
      </c>
      <c r="F555" s="10">
        <v>1834199</v>
      </c>
      <c r="G555" s="6">
        <v>3</v>
      </c>
      <c r="H555" s="6" t="s">
        <v>16</v>
      </c>
      <c r="I555" s="6" t="s">
        <v>23</v>
      </c>
      <c r="J555" s="6" t="s">
        <v>23</v>
      </c>
      <c r="K555" s="6" t="s">
        <v>28</v>
      </c>
      <c r="L555" s="6"/>
      <c r="M555" s="6" t="str">
        <f t="shared" si="8"/>
        <v>Below 30L</v>
      </c>
    </row>
    <row r="556" spans="1:13" x14ac:dyDescent="0.25">
      <c r="A556" s="6" t="s">
        <v>596</v>
      </c>
      <c r="B556" s="7">
        <v>46148.329328703701</v>
      </c>
      <c r="C556" s="6" t="s">
        <v>36</v>
      </c>
      <c r="D556" s="6" t="s">
        <v>1059</v>
      </c>
      <c r="E556" s="6" t="s">
        <v>15</v>
      </c>
      <c r="F556" s="10">
        <v>3111426</v>
      </c>
      <c r="G556" s="6">
        <v>5</v>
      </c>
      <c r="H556" s="6" t="s">
        <v>37</v>
      </c>
      <c r="I556" s="6" t="s">
        <v>17</v>
      </c>
      <c r="J556" s="6" t="s">
        <v>23</v>
      </c>
      <c r="K556" s="6" t="s">
        <v>24</v>
      </c>
      <c r="L556" s="6"/>
      <c r="M556" s="6" t="str">
        <f t="shared" si="8"/>
        <v>30L-50L</v>
      </c>
    </row>
    <row r="557" spans="1:13" x14ac:dyDescent="0.25">
      <c r="A557" s="6" t="s">
        <v>597</v>
      </c>
      <c r="B557" s="7">
        <v>46148.555555555555</v>
      </c>
      <c r="C557" s="6" t="s">
        <v>20</v>
      </c>
      <c r="D557" s="6" t="s">
        <v>1059</v>
      </c>
      <c r="E557" s="6" t="s">
        <v>27</v>
      </c>
      <c r="F557" s="10">
        <v>4905451</v>
      </c>
      <c r="G557" s="6">
        <v>6</v>
      </c>
      <c r="H557" s="6" t="s">
        <v>16</v>
      </c>
      <c r="I557" s="6" t="s">
        <v>23</v>
      </c>
      <c r="J557" s="6" t="s">
        <v>23</v>
      </c>
      <c r="K557" s="6" t="s">
        <v>28</v>
      </c>
      <c r="L557" s="6"/>
      <c r="M557" s="6" t="str">
        <f t="shared" si="8"/>
        <v>30L-50L</v>
      </c>
    </row>
    <row r="558" spans="1:13" x14ac:dyDescent="0.25">
      <c r="A558" s="6" t="s">
        <v>598</v>
      </c>
      <c r="B558" s="7">
        <v>46148.781782407408</v>
      </c>
      <c r="C558" s="6" t="s">
        <v>13</v>
      </c>
      <c r="D558" s="6" t="s">
        <v>1062</v>
      </c>
      <c r="E558" s="6" t="s">
        <v>15</v>
      </c>
      <c r="F558" s="10">
        <v>7045727</v>
      </c>
      <c r="G558" s="6">
        <v>1</v>
      </c>
      <c r="H558" s="6" t="s">
        <v>16</v>
      </c>
      <c r="I558" s="6" t="s">
        <v>23</v>
      </c>
      <c r="J558" s="6" t="s">
        <v>17</v>
      </c>
      <c r="K558" s="6" t="s">
        <v>28</v>
      </c>
      <c r="L558" s="6"/>
      <c r="M558" s="6" t="str">
        <f t="shared" si="8"/>
        <v>50L-80L</v>
      </c>
    </row>
    <row r="559" spans="1:13" x14ac:dyDescent="0.25">
      <c r="A559" s="6" t="s">
        <v>599</v>
      </c>
      <c r="B559" s="7">
        <v>46149.008009259262</v>
      </c>
      <c r="C559" s="6" t="s">
        <v>13</v>
      </c>
      <c r="D559" s="6" t="s">
        <v>21</v>
      </c>
      <c r="E559" s="6" t="s">
        <v>15</v>
      </c>
      <c r="F559" s="10">
        <v>4475368</v>
      </c>
      <c r="G559" s="6">
        <v>1</v>
      </c>
      <c r="H559" s="6" t="s">
        <v>16</v>
      </c>
      <c r="I559" s="6" t="s">
        <v>17</v>
      </c>
      <c r="J559" s="6" t="s">
        <v>23</v>
      </c>
      <c r="K559" s="6" t="s">
        <v>24</v>
      </c>
      <c r="L559" s="6"/>
      <c r="M559" s="6" t="str">
        <f t="shared" si="8"/>
        <v>30L-50L</v>
      </c>
    </row>
    <row r="560" spans="1:13" x14ac:dyDescent="0.25">
      <c r="A560" s="6" t="s">
        <v>600</v>
      </c>
      <c r="B560" s="7">
        <v>46149.234236111108</v>
      </c>
      <c r="C560" s="6" t="s">
        <v>36</v>
      </c>
      <c r="D560" s="6" t="s">
        <v>1063</v>
      </c>
      <c r="E560" s="6" t="s">
        <v>15</v>
      </c>
      <c r="F560" s="10">
        <v>4108383</v>
      </c>
      <c r="G560" s="6">
        <v>2</v>
      </c>
      <c r="H560" s="6" t="s">
        <v>37</v>
      </c>
      <c r="I560" s="6" t="s">
        <v>23</v>
      </c>
      <c r="J560" s="6" t="s">
        <v>23</v>
      </c>
      <c r="K560" s="6" t="s">
        <v>28</v>
      </c>
      <c r="L560" s="6"/>
      <c r="M560" s="6" t="str">
        <f t="shared" si="8"/>
        <v>30L-50L</v>
      </c>
    </row>
    <row r="561" spans="1:13" x14ac:dyDescent="0.25">
      <c r="A561" s="6" t="s">
        <v>601</v>
      </c>
      <c r="B561" s="7">
        <v>46149.460462962961</v>
      </c>
      <c r="C561" s="6" t="s">
        <v>30</v>
      </c>
      <c r="D561" s="6" t="s">
        <v>1061</v>
      </c>
      <c r="E561" s="6" t="s">
        <v>15</v>
      </c>
      <c r="F561" s="10">
        <v>5592038</v>
      </c>
      <c r="G561" s="6">
        <v>2</v>
      </c>
      <c r="H561" s="6" t="s">
        <v>16</v>
      </c>
      <c r="I561" s="6" t="s">
        <v>17</v>
      </c>
      <c r="J561" s="6" t="s">
        <v>17</v>
      </c>
      <c r="K561" s="6" t="s">
        <v>24</v>
      </c>
      <c r="L561" s="6"/>
      <c r="M561" s="6" t="str">
        <f t="shared" si="8"/>
        <v>50L-80L</v>
      </c>
    </row>
    <row r="562" spans="1:13" x14ac:dyDescent="0.25">
      <c r="A562" s="6" t="s">
        <v>602</v>
      </c>
      <c r="B562" s="7">
        <v>46149.686689814815</v>
      </c>
      <c r="C562" s="6" t="s">
        <v>30</v>
      </c>
      <c r="D562" s="6" t="s">
        <v>21</v>
      </c>
      <c r="E562" s="6" t="s">
        <v>22</v>
      </c>
      <c r="F562" s="10">
        <v>8442432</v>
      </c>
      <c r="G562" s="6">
        <v>1</v>
      </c>
      <c r="H562" s="6" t="s">
        <v>37</v>
      </c>
      <c r="I562" s="6" t="s">
        <v>23</v>
      </c>
      <c r="J562" s="6" t="s">
        <v>23</v>
      </c>
      <c r="K562" s="6" t="s">
        <v>28</v>
      </c>
      <c r="L562" s="6"/>
      <c r="M562" s="6" t="str">
        <f t="shared" si="8"/>
        <v>80L-1.2Cr</v>
      </c>
    </row>
    <row r="563" spans="1:13" x14ac:dyDescent="0.25">
      <c r="A563" s="6" t="s">
        <v>603</v>
      </c>
      <c r="B563" s="7">
        <v>46149.912916666668</v>
      </c>
      <c r="C563" s="6" t="s">
        <v>26</v>
      </c>
      <c r="D563" s="6" t="s">
        <v>1059</v>
      </c>
      <c r="E563" s="6" t="s">
        <v>22</v>
      </c>
      <c r="F563" s="10">
        <v>6407407</v>
      </c>
      <c r="G563" s="6">
        <v>1</v>
      </c>
      <c r="H563" s="6" t="s">
        <v>16</v>
      </c>
      <c r="I563" s="6" t="s">
        <v>23</v>
      </c>
      <c r="J563" s="6" t="s">
        <v>23</v>
      </c>
      <c r="K563" s="6" t="s">
        <v>28</v>
      </c>
      <c r="L563" s="6"/>
      <c r="M563" s="6" t="str">
        <f t="shared" si="8"/>
        <v>50L-80L</v>
      </c>
    </row>
    <row r="564" spans="1:13" x14ac:dyDescent="0.25">
      <c r="A564" s="6" t="s">
        <v>604</v>
      </c>
      <c r="B564" s="7">
        <v>46150.139143518521</v>
      </c>
      <c r="C564" s="6" t="s">
        <v>13</v>
      </c>
      <c r="D564" s="6" t="s">
        <v>1063</v>
      </c>
      <c r="E564" s="6" t="s">
        <v>15</v>
      </c>
      <c r="F564" s="10">
        <v>5795309</v>
      </c>
      <c r="G564" s="6">
        <v>6</v>
      </c>
      <c r="H564" s="6" t="s">
        <v>16</v>
      </c>
      <c r="I564" s="6" t="s">
        <v>17</v>
      </c>
      <c r="J564" s="6" t="s">
        <v>23</v>
      </c>
      <c r="K564" s="6" t="s">
        <v>24</v>
      </c>
      <c r="L564" s="6"/>
      <c r="M564" s="6" t="str">
        <f t="shared" si="8"/>
        <v>50L-80L</v>
      </c>
    </row>
    <row r="565" spans="1:13" x14ac:dyDescent="0.25">
      <c r="A565" s="6" t="s">
        <v>605</v>
      </c>
      <c r="B565" s="7">
        <v>46150.365370370368</v>
      </c>
      <c r="C565" s="6" t="s">
        <v>13</v>
      </c>
      <c r="D565" s="6" t="s">
        <v>1059</v>
      </c>
      <c r="E565" s="6" t="s">
        <v>15</v>
      </c>
      <c r="F565" s="10">
        <v>8127651</v>
      </c>
      <c r="G565" s="6">
        <v>5</v>
      </c>
      <c r="H565" s="6" t="s">
        <v>37</v>
      </c>
      <c r="I565" s="6" t="s">
        <v>23</v>
      </c>
      <c r="J565" s="6" t="s">
        <v>23</v>
      </c>
      <c r="K565" s="6" t="s">
        <v>28</v>
      </c>
      <c r="L565" s="6"/>
      <c r="M565" s="6" t="str">
        <f t="shared" si="8"/>
        <v>80L-1.2Cr</v>
      </c>
    </row>
    <row r="566" spans="1:13" x14ac:dyDescent="0.25">
      <c r="A566" s="6" t="s">
        <v>606</v>
      </c>
      <c r="B566" s="7">
        <v>46150.591597222221</v>
      </c>
      <c r="C566" s="6" t="s">
        <v>26</v>
      </c>
      <c r="D566" s="6" t="s">
        <v>1063</v>
      </c>
      <c r="E566" s="6" t="s">
        <v>15</v>
      </c>
      <c r="F566" s="10">
        <v>7901431</v>
      </c>
      <c r="G566" s="6">
        <v>1</v>
      </c>
      <c r="H566" s="6" t="s">
        <v>16</v>
      </c>
      <c r="I566" s="6" t="s">
        <v>17</v>
      </c>
      <c r="J566" s="6" t="s">
        <v>23</v>
      </c>
      <c r="K566" s="6" t="s">
        <v>24</v>
      </c>
      <c r="L566" s="6"/>
      <c r="M566" s="6" t="str">
        <f t="shared" si="8"/>
        <v>50L-80L</v>
      </c>
    </row>
    <row r="567" spans="1:13" x14ac:dyDescent="0.25">
      <c r="A567" s="6" t="s">
        <v>607</v>
      </c>
      <c r="B567" s="7">
        <v>46150.817812499998</v>
      </c>
      <c r="C567" s="6" t="s">
        <v>30</v>
      </c>
      <c r="D567" s="6" t="s">
        <v>21</v>
      </c>
      <c r="E567" s="6" t="s">
        <v>15</v>
      </c>
      <c r="F567" s="10">
        <v>5873714</v>
      </c>
      <c r="G567" s="6">
        <v>2</v>
      </c>
      <c r="H567" s="6" t="s">
        <v>16</v>
      </c>
      <c r="I567" s="6" t="s">
        <v>23</v>
      </c>
      <c r="J567" s="6" t="s">
        <v>23</v>
      </c>
      <c r="K567" s="6" t="s">
        <v>28</v>
      </c>
      <c r="L567" s="6"/>
      <c r="M567" s="6" t="str">
        <f t="shared" si="8"/>
        <v>50L-80L</v>
      </c>
    </row>
    <row r="568" spans="1:13" x14ac:dyDescent="0.25">
      <c r="A568" s="6" t="s">
        <v>608</v>
      </c>
      <c r="B568" s="7">
        <v>46151.044039351851</v>
      </c>
      <c r="C568" s="6" t="s">
        <v>26</v>
      </c>
      <c r="D568" s="6" t="s">
        <v>1062</v>
      </c>
      <c r="E568" s="6" t="s">
        <v>15</v>
      </c>
      <c r="F568" s="10">
        <v>3228584</v>
      </c>
      <c r="G568" s="6">
        <v>2</v>
      </c>
      <c r="H568" s="6" t="s">
        <v>37</v>
      </c>
      <c r="I568" s="6" t="s">
        <v>23</v>
      </c>
      <c r="J568" s="6" t="s">
        <v>23</v>
      </c>
      <c r="K568" s="6" t="s">
        <v>28</v>
      </c>
      <c r="L568" s="6"/>
      <c r="M568" s="6" t="str">
        <f t="shared" si="8"/>
        <v>30L-50L</v>
      </c>
    </row>
    <row r="569" spans="1:13" x14ac:dyDescent="0.25">
      <c r="A569" s="6" t="s">
        <v>609</v>
      </c>
      <c r="B569" s="7">
        <v>46151.270266203705</v>
      </c>
      <c r="C569" s="6" t="s">
        <v>20</v>
      </c>
      <c r="D569" s="6" t="s">
        <v>1059</v>
      </c>
      <c r="E569" s="6" t="s">
        <v>15</v>
      </c>
      <c r="F569" s="10">
        <v>4127113</v>
      </c>
      <c r="G569" s="6">
        <v>1</v>
      </c>
      <c r="H569" s="6" t="s">
        <v>37</v>
      </c>
      <c r="I569" s="6" t="s">
        <v>23</v>
      </c>
      <c r="J569" s="6" t="s">
        <v>23</v>
      </c>
      <c r="K569" s="6" t="s">
        <v>28</v>
      </c>
      <c r="L569" s="6"/>
      <c r="M569" s="6" t="str">
        <f t="shared" si="8"/>
        <v>30L-50L</v>
      </c>
    </row>
    <row r="570" spans="1:13" x14ac:dyDescent="0.25">
      <c r="A570" s="6" t="s">
        <v>610</v>
      </c>
      <c r="B570" s="7">
        <v>46151.496493055558</v>
      </c>
      <c r="C570" s="6" t="s">
        <v>33</v>
      </c>
      <c r="D570" s="6" t="s">
        <v>1062</v>
      </c>
      <c r="E570" s="6" t="s">
        <v>27</v>
      </c>
      <c r="F570" s="10">
        <v>3085167</v>
      </c>
      <c r="G570" s="6">
        <v>3</v>
      </c>
      <c r="H570" s="6" t="s">
        <v>16</v>
      </c>
      <c r="I570" s="6" t="s">
        <v>17</v>
      </c>
      <c r="J570" s="6" t="s">
        <v>23</v>
      </c>
      <c r="K570" s="6" t="s">
        <v>24</v>
      </c>
      <c r="L570" s="6"/>
      <c r="M570" s="6" t="str">
        <f t="shared" si="8"/>
        <v>30L-50L</v>
      </c>
    </row>
    <row r="571" spans="1:13" x14ac:dyDescent="0.25">
      <c r="A571" s="6" t="s">
        <v>611</v>
      </c>
      <c r="B571" s="7">
        <v>46151.722719907404</v>
      </c>
      <c r="C571" s="6" t="s">
        <v>26</v>
      </c>
      <c r="D571" s="6" t="s">
        <v>1060</v>
      </c>
      <c r="E571" s="6" t="s">
        <v>27</v>
      </c>
      <c r="F571" s="10">
        <v>2846419</v>
      </c>
      <c r="G571" s="6">
        <v>3</v>
      </c>
      <c r="H571" s="6" t="s">
        <v>16</v>
      </c>
      <c r="I571" s="6" t="s">
        <v>23</v>
      </c>
      <c r="J571" s="6" t="s">
        <v>23</v>
      </c>
      <c r="K571" s="6" t="s">
        <v>28</v>
      </c>
      <c r="L571" s="6"/>
      <c r="M571" s="6" t="str">
        <f t="shared" si="8"/>
        <v>Below 30L</v>
      </c>
    </row>
    <row r="572" spans="1:13" x14ac:dyDescent="0.25">
      <c r="A572" s="6" t="s">
        <v>612</v>
      </c>
      <c r="B572" s="7">
        <v>46151.948946759258</v>
      </c>
      <c r="C572" s="6" t="s">
        <v>20</v>
      </c>
      <c r="D572" s="6" t="s">
        <v>1060</v>
      </c>
      <c r="E572" s="6" t="s">
        <v>15</v>
      </c>
      <c r="F572" s="10">
        <v>5364286</v>
      </c>
      <c r="G572" s="6">
        <v>5</v>
      </c>
      <c r="H572" s="6" t="s">
        <v>16</v>
      </c>
      <c r="I572" s="6" t="s">
        <v>17</v>
      </c>
      <c r="J572" s="6" t="s">
        <v>17</v>
      </c>
      <c r="K572" s="6" t="s">
        <v>24</v>
      </c>
      <c r="L572" s="6"/>
      <c r="M572" s="6" t="str">
        <f t="shared" si="8"/>
        <v>50L-80L</v>
      </c>
    </row>
    <row r="573" spans="1:13" x14ac:dyDescent="0.25">
      <c r="A573" s="6" t="s">
        <v>613</v>
      </c>
      <c r="B573" s="7">
        <v>46152.175173611111</v>
      </c>
      <c r="C573" s="6" t="s">
        <v>36</v>
      </c>
      <c r="D573" s="6" t="s">
        <v>1059</v>
      </c>
      <c r="E573" s="6" t="s">
        <v>27</v>
      </c>
      <c r="F573" s="10">
        <v>3559074</v>
      </c>
      <c r="G573" s="6">
        <v>4</v>
      </c>
      <c r="H573" s="6" t="s">
        <v>16</v>
      </c>
      <c r="I573" s="6" t="s">
        <v>23</v>
      </c>
      <c r="J573" s="6" t="s">
        <v>23</v>
      </c>
      <c r="K573" s="6" t="s">
        <v>28</v>
      </c>
      <c r="L573" s="6"/>
      <c r="M573" s="6" t="str">
        <f t="shared" si="8"/>
        <v>30L-50L</v>
      </c>
    </row>
    <row r="574" spans="1:13" x14ac:dyDescent="0.25">
      <c r="A574" s="6" t="s">
        <v>614</v>
      </c>
      <c r="B574" s="7">
        <v>46152.401400462964</v>
      </c>
      <c r="C574" s="6" t="s">
        <v>26</v>
      </c>
      <c r="D574" s="6" t="s">
        <v>1062</v>
      </c>
      <c r="E574" s="6" t="s">
        <v>15</v>
      </c>
      <c r="F574" s="10">
        <v>3756079</v>
      </c>
      <c r="G574" s="6">
        <v>3</v>
      </c>
      <c r="H574" s="6" t="s">
        <v>37</v>
      </c>
      <c r="I574" s="6" t="s">
        <v>23</v>
      </c>
      <c r="J574" s="6" t="s">
        <v>23</v>
      </c>
      <c r="K574" s="6" t="s">
        <v>28</v>
      </c>
      <c r="L574" s="6"/>
      <c r="M574" s="6" t="str">
        <f t="shared" si="8"/>
        <v>30L-50L</v>
      </c>
    </row>
    <row r="575" spans="1:13" x14ac:dyDescent="0.25">
      <c r="A575" s="6" t="s">
        <v>615</v>
      </c>
      <c r="B575" s="7">
        <v>46152.627627314818</v>
      </c>
      <c r="C575" s="6" t="s">
        <v>30</v>
      </c>
      <c r="D575" s="6" t="s">
        <v>1061</v>
      </c>
      <c r="E575" s="6" t="s">
        <v>15</v>
      </c>
      <c r="F575" s="10">
        <v>4443401</v>
      </c>
      <c r="G575" s="6">
        <v>3</v>
      </c>
      <c r="H575" s="6" t="s">
        <v>37</v>
      </c>
      <c r="I575" s="6" t="s">
        <v>23</v>
      </c>
      <c r="J575" s="6" t="s">
        <v>23</v>
      </c>
      <c r="K575" s="6" t="s">
        <v>28</v>
      </c>
      <c r="L575" s="6"/>
      <c r="M575" s="6" t="str">
        <f t="shared" si="8"/>
        <v>30L-50L</v>
      </c>
    </row>
    <row r="576" spans="1:13" x14ac:dyDescent="0.25">
      <c r="A576" s="6" t="s">
        <v>616</v>
      </c>
      <c r="B576" s="7">
        <v>46152.853854166664</v>
      </c>
      <c r="C576" s="6" t="s">
        <v>36</v>
      </c>
      <c r="D576" s="6" t="s">
        <v>1059</v>
      </c>
      <c r="E576" s="6" t="s">
        <v>15</v>
      </c>
      <c r="F576" s="10">
        <v>7115417</v>
      </c>
      <c r="G576" s="6">
        <v>2</v>
      </c>
      <c r="H576" s="6" t="s">
        <v>16</v>
      </c>
      <c r="I576" s="6" t="s">
        <v>17</v>
      </c>
      <c r="J576" s="6" t="s">
        <v>17</v>
      </c>
      <c r="K576" s="6" t="s">
        <v>24</v>
      </c>
      <c r="L576" s="6"/>
      <c r="M576" s="6" t="str">
        <f t="shared" si="8"/>
        <v>50L-80L</v>
      </c>
    </row>
    <row r="577" spans="1:13" x14ac:dyDescent="0.25">
      <c r="A577" s="6" t="s">
        <v>617</v>
      </c>
      <c r="B577" s="7">
        <v>46153.080081018517</v>
      </c>
      <c r="C577" s="6" t="s">
        <v>33</v>
      </c>
      <c r="D577" s="6" t="s">
        <v>1059</v>
      </c>
      <c r="E577" s="6" t="s">
        <v>22</v>
      </c>
      <c r="F577" s="10">
        <v>11511166</v>
      </c>
      <c r="G577" s="6">
        <v>3</v>
      </c>
      <c r="H577" s="6" t="s">
        <v>37</v>
      </c>
      <c r="I577" s="6" t="s">
        <v>23</v>
      </c>
      <c r="J577" s="6" t="s">
        <v>23</v>
      </c>
      <c r="K577" s="6" t="s">
        <v>28</v>
      </c>
      <c r="L577" s="6"/>
      <c r="M577" s="6" t="str">
        <f t="shared" si="8"/>
        <v>80L-1.2Cr</v>
      </c>
    </row>
    <row r="578" spans="1:13" x14ac:dyDescent="0.25">
      <c r="A578" s="6" t="s">
        <v>618</v>
      </c>
      <c r="B578" s="7">
        <v>46153.306307870371</v>
      </c>
      <c r="C578" s="6" t="s">
        <v>13</v>
      </c>
      <c r="D578" s="6" t="s">
        <v>1059</v>
      </c>
      <c r="E578" s="6" t="s">
        <v>27</v>
      </c>
      <c r="F578" s="10">
        <v>2123640</v>
      </c>
      <c r="G578" s="6">
        <v>2</v>
      </c>
      <c r="H578" s="6" t="s">
        <v>16</v>
      </c>
      <c r="I578" s="6" t="s">
        <v>23</v>
      </c>
      <c r="J578" s="6" t="s">
        <v>23</v>
      </c>
      <c r="K578" s="6" t="s">
        <v>28</v>
      </c>
      <c r="L578" s="6"/>
      <c r="M578" s="6" t="str">
        <f t="shared" ref="M578:M641" si="9">IF(F578&lt;3000000,"Below 30L",IF(F578&lt;5000000,"30L-50L",IF(F578&lt;8000000,"50L-80L",IF(F578&lt;12000000,"80L-1.2Cr","Above 1.2Cr"))))</f>
        <v>Below 30L</v>
      </c>
    </row>
    <row r="579" spans="1:13" x14ac:dyDescent="0.25">
      <c r="A579" s="6" t="s">
        <v>619</v>
      </c>
      <c r="B579" s="7">
        <v>46153.532534722224</v>
      </c>
      <c r="C579" s="6" t="s">
        <v>33</v>
      </c>
      <c r="D579" s="6" t="s">
        <v>1062</v>
      </c>
      <c r="E579" s="6" t="s">
        <v>22</v>
      </c>
      <c r="F579" s="10">
        <v>11344720</v>
      </c>
      <c r="G579" s="6">
        <v>1</v>
      </c>
      <c r="H579" s="6" t="s">
        <v>16</v>
      </c>
      <c r="I579" s="6" t="s">
        <v>17</v>
      </c>
      <c r="J579" s="6" t="s">
        <v>17</v>
      </c>
      <c r="K579" s="6" t="s">
        <v>24</v>
      </c>
      <c r="L579" s="6"/>
      <c r="M579" s="6" t="str">
        <f t="shared" si="9"/>
        <v>80L-1.2Cr</v>
      </c>
    </row>
    <row r="580" spans="1:13" x14ac:dyDescent="0.25">
      <c r="A580" s="6" t="s">
        <v>620</v>
      </c>
      <c r="B580" s="7">
        <v>46153.758761574078</v>
      </c>
      <c r="C580" s="6" t="s">
        <v>20</v>
      </c>
      <c r="D580" s="6" t="s">
        <v>1062</v>
      </c>
      <c r="E580" s="6" t="s">
        <v>15</v>
      </c>
      <c r="F580" s="10">
        <v>3562634</v>
      </c>
      <c r="G580" s="6">
        <v>1</v>
      </c>
      <c r="H580" s="6" t="s">
        <v>16</v>
      </c>
      <c r="I580" s="6" t="s">
        <v>17</v>
      </c>
      <c r="J580" s="6" t="s">
        <v>17</v>
      </c>
      <c r="K580" s="6" t="s">
        <v>24</v>
      </c>
      <c r="L580" s="6"/>
      <c r="M580" s="6" t="str">
        <f t="shared" si="9"/>
        <v>30L-50L</v>
      </c>
    </row>
    <row r="581" spans="1:13" x14ac:dyDescent="0.25">
      <c r="A581" s="6" t="s">
        <v>621</v>
      </c>
      <c r="B581" s="7">
        <v>46153.984988425924</v>
      </c>
      <c r="C581" s="6" t="s">
        <v>26</v>
      </c>
      <c r="D581" s="6" t="s">
        <v>1060</v>
      </c>
      <c r="E581" s="6" t="s">
        <v>22</v>
      </c>
      <c r="F581" s="10">
        <v>6040149</v>
      </c>
      <c r="G581" s="6">
        <v>2</v>
      </c>
      <c r="H581" s="6" t="s">
        <v>16</v>
      </c>
      <c r="I581" s="6" t="s">
        <v>17</v>
      </c>
      <c r="J581" s="6" t="s">
        <v>17</v>
      </c>
      <c r="K581" s="6" t="s">
        <v>18</v>
      </c>
      <c r="L581" s="6">
        <v>6150000</v>
      </c>
      <c r="M581" s="6" t="str">
        <f t="shared" si="9"/>
        <v>50L-80L</v>
      </c>
    </row>
    <row r="582" spans="1:13" x14ac:dyDescent="0.25">
      <c r="A582" s="6" t="s">
        <v>622</v>
      </c>
      <c r="B582" s="7">
        <v>46154.211215277777</v>
      </c>
      <c r="C582" s="6" t="s">
        <v>20</v>
      </c>
      <c r="D582" s="6" t="s">
        <v>1059</v>
      </c>
      <c r="E582" s="6" t="s">
        <v>15</v>
      </c>
      <c r="F582" s="10">
        <v>6628448</v>
      </c>
      <c r="G582" s="6">
        <v>5</v>
      </c>
      <c r="H582" s="6" t="s">
        <v>16</v>
      </c>
      <c r="I582" s="6" t="s">
        <v>17</v>
      </c>
      <c r="J582" s="6" t="s">
        <v>23</v>
      </c>
      <c r="K582" s="6" t="s">
        <v>24</v>
      </c>
      <c r="L582" s="6"/>
      <c r="M582" s="6" t="str">
        <f t="shared" si="9"/>
        <v>50L-80L</v>
      </c>
    </row>
    <row r="583" spans="1:13" x14ac:dyDescent="0.25">
      <c r="A583" s="6" t="s">
        <v>623</v>
      </c>
      <c r="B583" s="7">
        <v>46154.437442129631</v>
      </c>
      <c r="C583" s="6" t="s">
        <v>33</v>
      </c>
      <c r="D583" s="6" t="s">
        <v>21</v>
      </c>
      <c r="E583" s="6" t="s">
        <v>27</v>
      </c>
      <c r="F583" s="10">
        <v>2334379</v>
      </c>
      <c r="G583" s="6">
        <v>1</v>
      </c>
      <c r="H583" s="6" t="s">
        <v>37</v>
      </c>
      <c r="I583" s="6" t="s">
        <v>23</v>
      </c>
      <c r="J583" s="6" t="s">
        <v>23</v>
      </c>
      <c r="K583" s="6" t="s">
        <v>28</v>
      </c>
      <c r="L583" s="6"/>
      <c r="M583" s="6" t="str">
        <f t="shared" si="9"/>
        <v>Below 30L</v>
      </c>
    </row>
    <row r="584" spans="1:13" x14ac:dyDescent="0.25">
      <c r="A584" s="6" t="s">
        <v>624</v>
      </c>
      <c r="B584" s="7">
        <v>46154.663668981484</v>
      </c>
      <c r="C584" s="6" t="s">
        <v>20</v>
      </c>
      <c r="D584" s="6" t="s">
        <v>1060</v>
      </c>
      <c r="E584" s="6" t="s">
        <v>15</v>
      </c>
      <c r="F584" s="10">
        <v>3680913</v>
      </c>
      <c r="G584" s="6">
        <v>2</v>
      </c>
      <c r="H584" s="6" t="s">
        <v>16</v>
      </c>
      <c r="I584" s="6" t="s">
        <v>23</v>
      </c>
      <c r="J584" s="6" t="s">
        <v>23</v>
      </c>
      <c r="K584" s="6" t="s">
        <v>28</v>
      </c>
      <c r="L584" s="6"/>
      <c r="M584" s="6" t="str">
        <f t="shared" si="9"/>
        <v>30L-50L</v>
      </c>
    </row>
    <row r="585" spans="1:13" x14ac:dyDescent="0.25">
      <c r="A585" s="6" t="s">
        <v>625</v>
      </c>
      <c r="B585" s="7">
        <v>46154.889884259261</v>
      </c>
      <c r="C585" s="6" t="s">
        <v>26</v>
      </c>
      <c r="D585" s="6" t="s">
        <v>1060</v>
      </c>
      <c r="E585" s="6" t="s">
        <v>15</v>
      </c>
      <c r="F585" s="10">
        <v>4414474</v>
      </c>
      <c r="G585" s="6">
        <v>2</v>
      </c>
      <c r="H585" s="6" t="s">
        <v>16</v>
      </c>
      <c r="I585" s="6" t="s">
        <v>17</v>
      </c>
      <c r="J585" s="6" t="s">
        <v>17</v>
      </c>
      <c r="K585" s="6" t="s">
        <v>18</v>
      </c>
      <c r="L585" s="6">
        <v>4200000</v>
      </c>
      <c r="M585" s="6" t="str">
        <f t="shared" si="9"/>
        <v>30L-50L</v>
      </c>
    </row>
    <row r="586" spans="1:13" x14ac:dyDescent="0.25">
      <c r="A586" s="6" t="s">
        <v>626</v>
      </c>
      <c r="B586" s="7">
        <v>46155.116111111114</v>
      </c>
      <c r="C586" s="6" t="s">
        <v>30</v>
      </c>
      <c r="D586" s="6" t="s">
        <v>1061</v>
      </c>
      <c r="E586" s="6" t="s">
        <v>22</v>
      </c>
      <c r="F586" s="10">
        <v>7361425</v>
      </c>
      <c r="G586" s="6">
        <v>3</v>
      </c>
      <c r="H586" s="6" t="s">
        <v>37</v>
      </c>
      <c r="I586" s="6" t="s">
        <v>17</v>
      </c>
      <c r="J586" s="6" t="s">
        <v>23</v>
      </c>
      <c r="K586" s="6" t="s">
        <v>24</v>
      </c>
      <c r="L586" s="6"/>
      <c r="M586" s="6" t="str">
        <f t="shared" si="9"/>
        <v>50L-80L</v>
      </c>
    </row>
    <row r="587" spans="1:13" x14ac:dyDescent="0.25">
      <c r="A587" s="6" t="s">
        <v>627</v>
      </c>
      <c r="B587" s="7">
        <v>46155.34233796296</v>
      </c>
      <c r="C587" s="6" t="s">
        <v>26</v>
      </c>
      <c r="D587" s="6" t="s">
        <v>1059</v>
      </c>
      <c r="E587" s="6" t="s">
        <v>22</v>
      </c>
      <c r="F587" s="10">
        <v>14957499</v>
      </c>
      <c r="G587" s="6">
        <v>1</v>
      </c>
      <c r="H587" s="6" t="s">
        <v>16</v>
      </c>
      <c r="I587" s="6" t="s">
        <v>23</v>
      </c>
      <c r="J587" s="6" t="s">
        <v>23</v>
      </c>
      <c r="K587" s="6" t="s">
        <v>28</v>
      </c>
      <c r="L587" s="6"/>
      <c r="M587" s="6" t="str">
        <f t="shared" si="9"/>
        <v>Above 1.2Cr</v>
      </c>
    </row>
    <row r="588" spans="1:13" x14ac:dyDescent="0.25">
      <c r="A588" s="6" t="s">
        <v>628</v>
      </c>
      <c r="B588" s="7">
        <v>46155.568564814814</v>
      </c>
      <c r="C588" s="6" t="s">
        <v>13</v>
      </c>
      <c r="D588" s="6" t="s">
        <v>1062</v>
      </c>
      <c r="E588" s="6" t="s">
        <v>15</v>
      </c>
      <c r="F588" s="10">
        <v>4809510</v>
      </c>
      <c r="G588" s="6">
        <v>6</v>
      </c>
      <c r="H588" s="6" t="s">
        <v>16</v>
      </c>
      <c r="I588" s="6" t="s">
        <v>17</v>
      </c>
      <c r="J588" s="6" t="s">
        <v>17</v>
      </c>
      <c r="K588" s="6" t="s">
        <v>24</v>
      </c>
      <c r="L588" s="6"/>
      <c r="M588" s="6" t="str">
        <f t="shared" si="9"/>
        <v>30L-50L</v>
      </c>
    </row>
    <row r="589" spans="1:13" x14ac:dyDescent="0.25">
      <c r="A589" s="6" t="s">
        <v>629</v>
      </c>
      <c r="B589" s="7">
        <v>46155.794791666667</v>
      </c>
      <c r="C589" s="6" t="s">
        <v>13</v>
      </c>
      <c r="D589" s="6" t="s">
        <v>21</v>
      </c>
      <c r="E589" s="6" t="s">
        <v>22</v>
      </c>
      <c r="F589" s="10">
        <v>9487627</v>
      </c>
      <c r="G589" s="6">
        <v>5</v>
      </c>
      <c r="H589" s="6" t="s">
        <v>16</v>
      </c>
      <c r="I589" s="6" t="s">
        <v>23</v>
      </c>
      <c r="J589" s="6" t="s">
        <v>23</v>
      </c>
      <c r="K589" s="6" t="s">
        <v>28</v>
      </c>
      <c r="L589" s="6"/>
      <c r="M589" s="6" t="str">
        <f t="shared" si="9"/>
        <v>80L-1.2Cr</v>
      </c>
    </row>
    <row r="590" spans="1:13" x14ac:dyDescent="0.25">
      <c r="A590" s="6" t="s">
        <v>630</v>
      </c>
      <c r="B590" s="7">
        <v>46156.021018518521</v>
      </c>
      <c r="C590" s="6" t="s">
        <v>13</v>
      </c>
      <c r="D590" s="6" t="s">
        <v>21</v>
      </c>
      <c r="E590" s="6" t="s">
        <v>15</v>
      </c>
      <c r="F590" s="10">
        <v>3940335</v>
      </c>
      <c r="G590" s="6">
        <v>3</v>
      </c>
      <c r="H590" s="6" t="s">
        <v>37</v>
      </c>
      <c r="I590" s="6" t="s">
        <v>23</v>
      </c>
      <c r="J590" s="6" t="s">
        <v>23</v>
      </c>
      <c r="K590" s="6" t="s">
        <v>28</v>
      </c>
      <c r="L590" s="6"/>
      <c r="M590" s="6" t="str">
        <f t="shared" si="9"/>
        <v>30L-50L</v>
      </c>
    </row>
    <row r="591" spans="1:13" x14ac:dyDescent="0.25">
      <c r="A591" s="6" t="s">
        <v>631</v>
      </c>
      <c r="B591" s="7">
        <v>46156.247245370374</v>
      </c>
      <c r="C591" s="6" t="s">
        <v>13</v>
      </c>
      <c r="D591" s="6" t="s">
        <v>1062</v>
      </c>
      <c r="E591" s="6" t="s">
        <v>22</v>
      </c>
      <c r="F591" s="10">
        <v>9459821</v>
      </c>
      <c r="G591" s="6">
        <v>3</v>
      </c>
      <c r="H591" s="6" t="s">
        <v>16</v>
      </c>
      <c r="I591" s="6" t="s">
        <v>17</v>
      </c>
      <c r="J591" s="6" t="s">
        <v>17</v>
      </c>
      <c r="K591" s="6" t="s">
        <v>24</v>
      </c>
      <c r="L591" s="6"/>
      <c r="M591" s="6" t="str">
        <f t="shared" si="9"/>
        <v>80L-1.2Cr</v>
      </c>
    </row>
    <row r="592" spans="1:13" x14ac:dyDescent="0.25">
      <c r="A592" s="6" t="s">
        <v>632</v>
      </c>
      <c r="B592" s="7">
        <v>46156.47347222222</v>
      </c>
      <c r="C592" s="6" t="s">
        <v>13</v>
      </c>
      <c r="D592" s="6" t="s">
        <v>1062</v>
      </c>
      <c r="E592" s="6" t="s">
        <v>27</v>
      </c>
      <c r="F592" s="10">
        <v>4709814</v>
      </c>
      <c r="G592" s="6">
        <v>1</v>
      </c>
      <c r="H592" s="6" t="s">
        <v>16</v>
      </c>
      <c r="I592" s="6" t="s">
        <v>17</v>
      </c>
      <c r="J592" s="6" t="s">
        <v>17</v>
      </c>
      <c r="K592" s="6" t="s">
        <v>18</v>
      </c>
      <c r="L592" s="6">
        <v>4800000</v>
      </c>
      <c r="M592" s="6" t="str">
        <f t="shared" si="9"/>
        <v>30L-50L</v>
      </c>
    </row>
    <row r="593" spans="1:13" x14ac:dyDescent="0.25">
      <c r="A593" s="6" t="s">
        <v>633</v>
      </c>
      <c r="B593" s="7">
        <v>46156.699699074074</v>
      </c>
      <c r="C593" s="6" t="s">
        <v>30</v>
      </c>
      <c r="D593" s="6" t="s">
        <v>1061</v>
      </c>
      <c r="E593" s="6" t="s">
        <v>27</v>
      </c>
      <c r="F593" s="10">
        <v>4446715</v>
      </c>
      <c r="G593" s="6">
        <v>2</v>
      </c>
      <c r="H593" s="6" t="s">
        <v>16</v>
      </c>
      <c r="I593" s="6" t="s">
        <v>17</v>
      </c>
      <c r="J593" s="6" t="s">
        <v>17</v>
      </c>
      <c r="K593" s="6" t="s">
        <v>18</v>
      </c>
      <c r="L593" s="6">
        <v>4100000</v>
      </c>
      <c r="M593" s="6" t="str">
        <f t="shared" si="9"/>
        <v>30L-50L</v>
      </c>
    </row>
    <row r="594" spans="1:13" x14ac:dyDescent="0.25">
      <c r="A594" s="6" t="s">
        <v>634</v>
      </c>
      <c r="B594" s="7">
        <v>46156.925925925927</v>
      </c>
      <c r="C594" s="6" t="s">
        <v>13</v>
      </c>
      <c r="D594" s="6" t="s">
        <v>1059</v>
      </c>
      <c r="E594" s="6" t="s">
        <v>22</v>
      </c>
      <c r="F594" s="10">
        <v>11257199</v>
      </c>
      <c r="G594" s="6">
        <v>4</v>
      </c>
      <c r="H594" s="6" t="s">
        <v>16</v>
      </c>
      <c r="I594" s="6" t="s">
        <v>17</v>
      </c>
      <c r="J594" s="6" t="s">
        <v>17</v>
      </c>
      <c r="K594" s="6" t="s">
        <v>18</v>
      </c>
      <c r="L594" s="6">
        <v>10750000</v>
      </c>
      <c r="M594" s="6" t="str">
        <f t="shared" si="9"/>
        <v>80L-1.2Cr</v>
      </c>
    </row>
    <row r="595" spans="1:13" x14ac:dyDescent="0.25">
      <c r="A595" s="6" t="s">
        <v>635</v>
      </c>
      <c r="B595" s="7">
        <v>46157.15215277778</v>
      </c>
      <c r="C595" s="6" t="s">
        <v>26</v>
      </c>
      <c r="D595" s="6" t="s">
        <v>1059</v>
      </c>
      <c r="E595" s="6" t="s">
        <v>15</v>
      </c>
      <c r="F595" s="10">
        <v>3555710</v>
      </c>
      <c r="G595" s="6">
        <v>1</v>
      </c>
      <c r="H595" s="6" t="s">
        <v>16</v>
      </c>
      <c r="I595" s="6" t="s">
        <v>23</v>
      </c>
      <c r="J595" s="6" t="s">
        <v>23</v>
      </c>
      <c r="K595" s="6" t="s">
        <v>28</v>
      </c>
      <c r="L595" s="6"/>
      <c r="M595" s="6" t="str">
        <f t="shared" si="9"/>
        <v>30L-50L</v>
      </c>
    </row>
    <row r="596" spans="1:13" x14ac:dyDescent="0.25">
      <c r="A596" s="6" t="s">
        <v>636</v>
      </c>
      <c r="B596" s="7">
        <v>46157.378379629627</v>
      </c>
      <c r="C596" s="6" t="s">
        <v>36</v>
      </c>
      <c r="D596" s="6" t="s">
        <v>1062</v>
      </c>
      <c r="E596" s="6" t="s">
        <v>15</v>
      </c>
      <c r="F596" s="10">
        <v>3274349</v>
      </c>
      <c r="G596" s="6">
        <v>2</v>
      </c>
      <c r="H596" s="6" t="s">
        <v>16</v>
      </c>
      <c r="I596" s="6" t="s">
        <v>17</v>
      </c>
      <c r="J596" s="6" t="s">
        <v>17</v>
      </c>
      <c r="K596" s="6" t="s">
        <v>24</v>
      </c>
      <c r="L596" s="6"/>
      <c r="M596" s="6" t="str">
        <f t="shared" si="9"/>
        <v>30L-50L</v>
      </c>
    </row>
    <row r="597" spans="1:13" x14ac:dyDescent="0.25">
      <c r="A597" s="6" t="s">
        <v>637</v>
      </c>
      <c r="B597" s="7">
        <v>46157.60460648148</v>
      </c>
      <c r="C597" s="6" t="s">
        <v>20</v>
      </c>
      <c r="D597" s="6" t="s">
        <v>1060</v>
      </c>
      <c r="E597" s="6" t="s">
        <v>22</v>
      </c>
      <c r="F597" s="10">
        <v>7815419</v>
      </c>
      <c r="G597" s="6">
        <v>3</v>
      </c>
      <c r="H597" s="6" t="s">
        <v>16</v>
      </c>
      <c r="I597" s="6" t="s">
        <v>23</v>
      </c>
      <c r="J597" s="6" t="s">
        <v>17</v>
      </c>
      <c r="K597" s="6" t="s">
        <v>18</v>
      </c>
      <c r="L597" s="6">
        <v>7700000</v>
      </c>
      <c r="M597" s="6" t="str">
        <f t="shared" si="9"/>
        <v>50L-80L</v>
      </c>
    </row>
    <row r="598" spans="1:13" x14ac:dyDescent="0.25">
      <c r="A598" s="6" t="s">
        <v>638</v>
      </c>
      <c r="B598" s="7">
        <v>46157.830833333333</v>
      </c>
      <c r="C598" s="6" t="s">
        <v>30</v>
      </c>
      <c r="D598" s="6" t="s">
        <v>1059</v>
      </c>
      <c r="E598" s="6" t="s">
        <v>15</v>
      </c>
      <c r="F598" s="10">
        <v>4427197</v>
      </c>
      <c r="G598" s="6">
        <v>2</v>
      </c>
      <c r="H598" s="6" t="s">
        <v>37</v>
      </c>
      <c r="I598" s="6" t="s">
        <v>23</v>
      </c>
      <c r="J598" s="6" t="s">
        <v>23</v>
      </c>
      <c r="K598" s="6" t="s">
        <v>28</v>
      </c>
      <c r="L598" s="6"/>
      <c r="M598" s="6" t="str">
        <f t="shared" si="9"/>
        <v>30L-50L</v>
      </c>
    </row>
    <row r="599" spans="1:13" x14ac:dyDescent="0.25">
      <c r="A599" s="6" t="s">
        <v>639</v>
      </c>
      <c r="B599" s="7">
        <v>46158.057060185187</v>
      </c>
      <c r="C599" s="6" t="s">
        <v>13</v>
      </c>
      <c r="D599" s="6" t="s">
        <v>1059</v>
      </c>
      <c r="E599" s="6" t="s">
        <v>15</v>
      </c>
      <c r="F599" s="10">
        <v>3439358</v>
      </c>
      <c r="G599" s="6">
        <v>5</v>
      </c>
      <c r="H599" s="6" t="s">
        <v>16</v>
      </c>
      <c r="I599" s="6" t="s">
        <v>17</v>
      </c>
      <c r="J599" s="6" t="s">
        <v>17</v>
      </c>
      <c r="K599" s="6" t="s">
        <v>18</v>
      </c>
      <c r="L599" s="6">
        <v>3200000</v>
      </c>
      <c r="M599" s="6" t="str">
        <f t="shared" si="9"/>
        <v>30L-50L</v>
      </c>
    </row>
    <row r="600" spans="1:13" x14ac:dyDescent="0.25">
      <c r="A600" s="6" t="s">
        <v>640</v>
      </c>
      <c r="B600" s="7">
        <v>46158.28328703704</v>
      </c>
      <c r="C600" s="6" t="s">
        <v>13</v>
      </c>
      <c r="D600" s="6" t="s">
        <v>1059</v>
      </c>
      <c r="E600" s="6" t="s">
        <v>15</v>
      </c>
      <c r="F600" s="10">
        <v>3020855</v>
      </c>
      <c r="G600" s="6">
        <v>1</v>
      </c>
      <c r="H600" s="6" t="s">
        <v>16</v>
      </c>
      <c r="I600" s="6" t="s">
        <v>23</v>
      </c>
      <c r="J600" s="6" t="s">
        <v>23</v>
      </c>
      <c r="K600" s="6" t="s">
        <v>28</v>
      </c>
      <c r="L600" s="6"/>
      <c r="M600" s="6" t="str">
        <f t="shared" si="9"/>
        <v>30L-50L</v>
      </c>
    </row>
    <row r="601" spans="1:13" x14ac:dyDescent="0.25">
      <c r="A601" s="6" t="s">
        <v>641</v>
      </c>
      <c r="B601" s="7">
        <v>46158.509513888886</v>
      </c>
      <c r="C601" s="6" t="s">
        <v>13</v>
      </c>
      <c r="D601" s="6" t="s">
        <v>1061</v>
      </c>
      <c r="E601" s="6" t="s">
        <v>15</v>
      </c>
      <c r="F601" s="10">
        <v>3811527</v>
      </c>
      <c r="G601" s="6">
        <v>4</v>
      </c>
      <c r="H601" s="6" t="s">
        <v>16</v>
      </c>
      <c r="I601" s="6" t="s">
        <v>17</v>
      </c>
      <c r="J601" s="6" t="s">
        <v>17</v>
      </c>
      <c r="K601" s="6" t="s">
        <v>18</v>
      </c>
      <c r="L601" s="6">
        <v>3600000</v>
      </c>
      <c r="M601" s="6" t="str">
        <f t="shared" si="9"/>
        <v>30L-50L</v>
      </c>
    </row>
    <row r="602" spans="1:13" x14ac:dyDescent="0.25">
      <c r="A602" s="6" t="s">
        <v>642</v>
      </c>
      <c r="B602" s="7">
        <v>46158.73574074074</v>
      </c>
      <c r="C602" s="6" t="s">
        <v>13</v>
      </c>
      <c r="D602" s="6" t="s">
        <v>1059</v>
      </c>
      <c r="E602" s="6" t="s">
        <v>22</v>
      </c>
      <c r="F602" s="10">
        <v>15607324</v>
      </c>
      <c r="G602" s="6">
        <v>3</v>
      </c>
      <c r="H602" s="6" t="s">
        <v>16</v>
      </c>
      <c r="I602" s="6" t="s">
        <v>23</v>
      </c>
      <c r="J602" s="6" t="s">
        <v>17</v>
      </c>
      <c r="K602" s="6" t="s">
        <v>18</v>
      </c>
      <c r="L602" s="6">
        <v>16250000</v>
      </c>
      <c r="M602" s="6" t="str">
        <f t="shared" si="9"/>
        <v>Above 1.2Cr</v>
      </c>
    </row>
    <row r="603" spans="1:13" x14ac:dyDescent="0.25">
      <c r="A603" s="6" t="s">
        <v>643</v>
      </c>
      <c r="B603" s="7">
        <v>46158.961967592593</v>
      </c>
      <c r="C603" s="6" t="s">
        <v>26</v>
      </c>
      <c r="D603" s="6" t="s">
        <v>21</v>
      </c>
      <c r="E603" s="6" t="s">
        <v>15</v>
      </c>
      <c r="F603" s="10">
        <v>3356427</v>
      </c>
      <c r="G603" s="6">
        <v>4</v>
      </c>
      <c r="H603" s="6" t="s">
        <v>16</v>
      </c>
      <c r="I603" s="6" t="s">
        <v>23</v>
      </c>
      <c r="J603" s="6" t="s">
        <v>23</v>
      </c>
      <c r="K603" s="6" t="s">
        <v>28</v>
      </c>
      <c r="L603" s="6"/>
      <c r="M603" s="6" t="str">
        <f t="shared" si="9"/>
        <v>30L-50L</v>
      </c>
    </row>
    <row r="604" spans="1:13" x14ac:dyDescent="0.25">
      <c r="A604" s="6" t="s">
        <v>644</v>
      </c>
      <c r="B604" s="7">
        <v>46159.18818287037</v>
      </c>
      <c r="C604" s="6" t="s">
        <v>13</v>
      </c>
      <c r="D604" s="6" t="s">
        <v>1059</v>
      </c>
      <c r="E604" s="6" t="s">
        <v>22</v>
      </c>
      <c r="F604" s="10">
        <v>7928854</v>
      </c>
      <c r="G604" s="6">
        <v>2</v>
      </c>
      <c r="H604" s="6" t="s">
        <v>16</v>
      </c>
      <c r="I604" s="6" t="s">
        <v>23</v>
      </c>
      <c r="J604" s="6" t="s">
        <v>17</v>
      </c>
      <c r="K604" s="6" t="s">
        <v>18</v>
      </c>
      <c r="L604" s="6">
        <v>8300000</v>
      </c>
      <c r="M604" s="6" t="str">
        <f t="shared" si="9"/>
        <v>50L-80L</v>
      </c>
    </row>
    <row r="605" spans="1:13" x14ac:dyDescent="0.25">
      <c r="A605" s="6" t="s">
        <v>645</v>
      </c>
      <c r="B605" s="7">
        <v>46159.414409722223</v>
      </c>
      <c r="C605" s="6" t="s">
        <v>13</v>
      </c>
      <c r="D605" s="6" t="s">
        <v>21</v>
      </c>
      <c r="E605" s="6" t="s">
        <v>15</v>
      </c>
      <c r="F605" s="10">
        <v>3115657</v>
      </c>
      <c r="G605" s="6">
        <v>3</v>
      </c>
      <c r="H605" s="6" t="s">
        <v>16</v>
      </c>
      <c r="I605" s="6" t="s">
        <v>17</v>
      </c>
      <c r="J605" s="6" t="s">
        <v>23</v>
      </c>
      <c r="K605" s="6" t="s">
        <v>24</v>
      </c>
      <c r="L605" s="6"/>
      <c r="M605" s="6" t="str">
        <f t="shared" si="9"/>
        <v>30L-50L</v>
      </c>
    </row>
    <row r="606" spans="1:13" x14ac:dyDescent="0.25">
      <c r="A606" s="6" t="s">
        <v>646</v>
      </c>
      <c r="B606" s="7">
        <v>46159.640636574077</v>
      </c>
      <c r="C606" s="6" t="s">
        <v>13</v>
      </c>
      <c r="D606" s="6" t="s">
        <v>1059</v>
      </c>
      <c r="E606" s="6" t="s">
        <v>15</v>
      </c>
      <c r="F606" s="10">
        <v>4622036</v>
      </c>
      <c r="G606" s="6">
        <v>5</v>
      </c>
      <c r="H606" s="6" t="s">
        <v>16</v>
      </c>
      <c r="I606" s="6" t="s">
        <v>17</v>
      </c>
      <c r="J606" s="6" t="s">
        <v>23</v>
      </c>
      <c r="K606" s="6" t="s">
        <v>24</v>
      </c>
      <c r="L606" s="6"/>
      <c r="M606" s="6" t="str">
        <f t="shared" si="9"/>
        <v>30L-50L</v>
      </c>
    </row>
    <row r="607" spans="1:13" x14ac:dyDescent="0.25">
      <c r="A607" s="6" t="s">
        <v>647</v>
      </c>
      <c r="B607" s="7">
        <v>46159.866863425923</v>
      </c>
      <c r="C607" s="6" t="s">
        <v>20</v>
      </c>
      <c r="D607" s="6" t="s">
        <v>1060</v>
      </c>
      <c r="E607" s="6" t="s">
        <v>15</v>
      </c>
      <c r="F607" s="10">
        <v>5412677</v>
      </c>
      <c r="G607" s="6">
        <v>2</v>
      </c>
      <c r="H607" s="6" t="s">
        <v>16</v>
      </c>
      <c r="I607" s="6" t="s">
        <v>23</v>
      </c>
      <c r="J607" s="6" t="s">
        <v>17</v>
      </c>
      <c r="K607" s="6" t="s">
        <v>28</v>
      </c>
      <c r="L607" s="6"/>
      <c r="M607" s="6" t="str">
        <f t="shared" si="9"/>
        <v>50L-80L</v>
      </c>
    </row>
    <row r="608" spans="1:13" x14ac:dyDescent="0.25">
      <c r="A608" s="6" t="s">
        <v>648</v>
      </c>
      <c r="B608" s="7">
        <v>46160.093090277776</v>
      </c>
      <c r="C608" s="6" t="s">
        <v>26</v>
      </c>
      <c r="D608" s="6" t="s">
        <v>1059</v>
      </c>
      <c r="E608" s="6" t="s">
        <v>15</v>
      </c>
      <c r="F608" s="10">
        <v>4569519</v>
      </c>
      <c r="G608" s="6">
        <v>2</v>
      </c>
      <c r="H608" s="6" t="s">
        <v>16</v>
      </c>
      <c r="I608" s="6" t="s">
        <v>23</v>
      </c>
      <c r="J608" s="6" t="s">
        <v>23</v>
      </c>
      <c r="K608" s="6" t="s">
        <v>28</v>
      </c>
      <c r="L608" s="6"/>
      <c r="M608" s="6" t="str">
        <f t="shared" si="9"/>
        <v>30L-50L</v>
      </c>
    </row>
    <row r="609" spans="1:13" x14ac:dyDescent="0.25">
      <c r="A609" s="6" t="s">
        <v>649</v>
      </c>
      <c r="B609" s="7">
        <v>46160.31931712963</v>
      </c>
      <c r="C609" s="6" t="s">
        <v>26</v>
      </c>
      <c r="D609" s="6" t="s">
        <v>1063</v>
      </c>
      <c r="E609" s="6" t="s">
        <v>15</v>
      </c>
      <c r="F609" s="10">
        <v>3667565</v>
      </c>
      <c r="G609" s="6">
        <v>3</v>
      </c>
      <c r="H609" s="6" t="s">
        <v>16</v>
      </c>
      <c r="I609" s="6" t="s">
        <v>17</v>
      </c>
      <c r="J609" s="6" t="s">
        <v>17</v>
      </c>
      <c r="K609" s="6" t="s">
        <v>18</v>
      </c>
      <c r="L609" s="6">
        <v>3750000</v>
      </c>
      <c r="M609" s="6" t="str">
        <f t="shared" si="9"/>
        <v>30L-50L</v>
      </c>
    </row>
    <row r="610" spans="1:13" x14ac:dyDescent="0.25">
      <c r="A610" s="6" t="s">
        <v>650</v>
      </c>
      <c r="B610" s="7">
        <v>46160.545543981483</v>
      </c>
      <c r="C610" s="6" t="s">
        <v>20</v>
      </c>
      <c r="D610" s="6" t="s">
        <v>1059</v>
      </c>
      <c r="E610" s="6" t="s">
        <v>22</v>
      </c>
      <c r="F610" s="10">
        <v>10347757</v>
      </c>
      <c r="G610" s="6">
        <v>4</v>
      </c>
      <c r="H610" s="6" t="s">
        <v>16</v>
      </c>
      <c r="I610" s="6" t="s">
        <v>17</v>
      </c>
      <c r="J610" s="6" t="s">
        <v>17</v>
      </c>
      <c r="K610" s="6" t="s">
        <v>24</v>
      </c>
      <c r="L610" s="6"/>
      <c r="M610" s="6" t="str">
        <f t="shared" si="9"/>
        <v>80L-1.2Cr</v>
      </c>
    </row>
    <row r="611" spans="1:13" x14ac:dyDescent="0.25">
      <c r="A611" s="6" t="s">
        <v>651</v>
      </c>
      <c r="B611" s="7">
        <v>46160.771770833337</v>
      </c>
      <c r="C611" s="6" t="s">
        <v>30</v>
      </c>
      <c r="D611" s="6" t="s">
        <v>1060</v>
      </c>
      <c r="E611" s="6" t="s">
        <v>15</v>
      </c>
      <c r="F611" s="10">
        <v>5601888</v>
      </c>
      <c r="G611" s="6">
        <v>2</v>
      </c>
      <c r="H611" s="6" t="s">
        <v>16</v>
      </c>
      <c r="I611" s="6" t="s">
        <v>17</v>
      </c>
      <c r="J611" s="6" t="s">
        <v>17</v>
      </c>
      <c r="K611" s="6" t="s">
        <v>18</v>
      </c>
      <c r="L611" s="6">
        <v>5350000</v>
      </c>
      <c r="M611" s="6" t="str">
        <f t="shared" si="9"/>
        <v>50L-80L</v>
      </c>
    </row>
    <row r="612" spans="1:13" x14ac:dyDescent="0.25">
      <c r="A612" s="6" t="s">
        <v>652</v>
      </c>
      <c r="B612" s="7">
        <v>46160.997997685183</v>
      </c>
      <c r="C612" s="6" t="s">
        <v>13</v>
      </c>
      <c r="D612" s="6" t="s">
        <v>1061</v>
      </c>
      <c r="E612" s="6" t="s">
        <v>27</v>
      </c>
      <c r="F612" s="10">
        <v>2179222</v>
      </c>
      <c r="G612" s="6">
        <v>5</v>
      </c>
      <c r="H612" s="6" t="s">
        <v>16</v>
      </c>
      <c r="I612" s="6" t="s">
        <v>17</v>
      </c>
      <c r="J612" s="6" t="s">
        <v>23</v>
      </c>
      <c r="K612" s="6" t="s">
        <v>24</v>
      </c>
      <c r="L612" s="6"/>
      <c r="M612" s="6" t="str">
        <f t="shared" si="9"/>
        <v>Below 30L</v>
      </c>
    </row>
    <row r="613" spans="1:13" x14ac:dyDescent="0.25">
      <c r="A613" s="6" t="s">
        <v>653</v>
      </c>
      <c r="B613" s="7">
        <v>46161.224224537036</v>
      </c>
      <c r="C613" s="6" t="s">
        <v>36</v>
      </c>
      <c r="D613" s="6" t="s">
        <v>1062</v>
      </c>
      <c r="E613" s="6" t="s">
        <v>15</v>
      </c>
      <c r="F613" s="10">
        <v>4390227</v>
      </c>
      <c r="G613" s="6">
        <v>2</v>
      </c>
      <c r="H613" s="6" t="s">
        <v>16</v>
      </c>
      <c r="I613" s="6" t="s">
        <v>17</v>
      </c>
      <c r="J613" s="6" t="s">
        <v>23</v>
      </c>
      <c r="K613" s="6" t="s">
        <v>24</v>
      </c>
      <c r="L613" s="6"/>
      <c r="M613" s="6" t="str">
        <f t="shared" si="9"/>
        <v>30L-50L</v>
      </c>
    </row>
    <row r="614" spans="1:13" x14ac:dyDescent="0.25">
      <c r="A614" s="6" t="s">
        <v>654</v>
      </c>
      <c r="B614" s="7">
        <v>46161.45045138889</v>
      </c>
      <c r="C614" s="6" t="s">
        <v>30</v>
      </c>
      <c r="D614" s="6" t="s">
        <v>1060</v>
      </c>
      <c r="E614" s="6" t="s">
        <v>15</v>
      </c>
      <c r="F614" s="10">
        <v>6077791</v>
      </c>
      <c r="G614" s="6">
        <v>2</v>
      </c>
      <c r="H614" s="6" t="s">
        <v>37</v>
      </c>
      <c r="I614" s="6" t="s">
        <v>23</v>
      </c>
      <c r="J614" s="6" t="s">
        <v>23</v>
      </c>
      <c r="K614" s="6" t="s">
        <v>28</v>
      </c>
      <c r="L614" s="6"/>
      <c r="M614" s="6" t="str">
        <f t="shared" si="9"/>
        <v>50L-80L</v>
      </c>
    </row>
    <row r="615" spans="1:13" x14ac:dyDescent="0.25">
      <c r="A615" s="6" t="s">
        <v>655</v>
      </c>
      <c r="B615" s="7">
        <v>46161.676678240743</v>
      </c>
      <c r="C615" s="6" t="s">
        <v>13</v>
      </c>
      <c r="D615" s="6" t="s">
        <v>21</v>
      </c>
      <c r="E615" s="6" t="s">
        <v>22</v>
      </c>
      <c r="F615" s="10">
        <v>7084309</v>
      </c>
      <c r="G615" s="6">
        <v>4</v>
      </c>
      <c r="H615" s="6" t="s">
        <v>16</v>
      </c>
      <c r="I615" s="6" t="s">
        <v>23</v>
      </c>
      <c r="J615" s="6" t="s">
        <v>23</v>
      </c>
      <c r="K615" s="6" t="s">
        <v>28</v>
      </c>
      <c r="L615" s="6"/>
      <c r="M615" s="6" t="str">
        <f t="shared" si="9"/>
        <v>50L-80L</v>
      </c>
    </row>
    <row r="616" spans="1:13" x14ac:dyDescent="0.25">
      <c r="A616" s="6" t="s">
        <v>656</v>
      </c>
      <c r="B616" s="7">
        <v>46161.902905092589</v>
      </c>
      <c r="C616" s="6" t="s">
        <v>36</v>
      </c>
      <c r="D616" s="6" t="s">
        <v>21</v>
      </c>
      <c r="E616" s="6" t="s">
        <v>15</v>
      </c>
      <c r="F616" s="10">
        <v>3170948</v>
      </c>
      <c r="G616" s="6">
        <v>3</v>
      </c>
      <c r="H616" s="6" t="s">
        <v>16</v>
      </c>
      <c r="I616" s="6" t="s">
        <v>23</v>
      </c>
      <c r="J616" s="6" t="s">
        <v>23</v>
      </c>
      <c r="K616" s="6" t="s">
        <v>28</v>
      </c>
      <c r="L616" s="6"/>
      <c r="M616" s="6" t="str">
        <f t="shared" si="9"/>
        <v>30L-50L</v>
      </c>
    </row>
    <row r="617" spans="1:13" x14ac:dyDescent="0.25">
      <c r="A617" s="6" t="s">
        <v>657</v>
      </c>
      <c r="B617" s="7">
        <v>46162.129131944443</v>
      </c>
      <c r="C617" s="6" t="s">
        <v>33</v>
      </c>
      <c r="D617" s="6" t="s">
        <v>1062</v>
      </c>
      <c r="E617" s="6" t="s">
        <v>15</v>
      </c>
      <c r="F617" s="10">
        <v>6071870</v>
      </c>
      <c r="G617" s="6">
        <v>5</v>
      </c>
      <c r="H617" s="6" t="s">
        <v>16</v>
      </c>
      <c r="I617" s="6" t="s">
        <v>1042</v>
      </c>
      <c r="J617" s="6" t="s">
        <v>17</v>
      </c>
      <c r="K617" s="6" t="s">
        <v>24</v>
      </c>
      <c r="L617" s="6"/>
      <c r="M617" s="6" t="str">
        <f t="shared" si="9"/>
        <v>50L-80L</v>
      </c>
    </row>
    <row r="618" spans="1:13" x14ac:dyDescent="0.25">
      <c r="A618" s="6" t="s">
        <v>658</v>
      </c>
      <c r="B618" s="7">
        <v>46162.355358796296</v>
      </c>
      <c r="C618" s="6" t="s">
        <v>13</v>
      </c>
      <c r="D618" s="6" t="s">
        <v>1061</v>
      </c>
      <c r="E618" s="6" t="s">
        <v>15</v>
      </c>
      <c r="F618" s="10">
        <v>3501793</v>
      </c>
      <c r="G618" s="6">
        <v>6</v>
      </c>
      <c r="H618" s="6" t="s">
        <v>16</v>
      </c>
      <c r="I618" s="6" t="s">
        <v>17</v>
      </c>
      <c r="J618" s="6" t="s">
        <v>23</v>
      </c>
      <c r="K618" s="6" t="s">
        <v>24</v>
      </c>
      <c r="L618" s="6"/>
      <c r="M618" s="6" t="str">
        <f t="shared" si="9"/>
        <v>30L-50L</v>
      </c>
    </row>
    <row r="619" spans="1:13" x14ac:dyDescent="0.25">
      <c r="A619" s="6" t="s">
        <v>659</v>
      </c>
      <c r="B619" s="7">
        <v>46162.581585648149</v>
      </c>
      <c r="C619" s="6" t="s">
        <v>26</v>
      </c>
      <c r="D619" s="6" t="s">
        <v>1062</v>
      </c>
      <c r="E619" s="6" t="s">
        <v>15</v>
      </c>
      <c r="F619" s="10">
        <v>3268508</v>
      </c>
      <c r="G619" s="6">
        <v>2</v>
      </c>
      <c r="H619" s="6" t="s">
        <v>16</v>
      </c>
      <c r="I619" s="6" t="s">
        <v>17</v>
      </c>
      <c r="J619" s="6" t="s">
        <v>23</v>
      </c>
      <c r="K619" s="6" t="s">
        <v>24</v>
      </c>
      <c r="L619" s="6"/>
      <c r="M619" s="6" t="str">
        <f t="shared" si="9"/>
        <v>30L-50L</v>
      </c>
    </row>
    <row r="620" spans="1:13" x14ac:dyDescent="0.25">
      <c r="A620" s="6" t="s">
        <v>660</v>
      </c>
      <c r="B620" s="7">
        <v>46162.807812500003</v>
      </c>
      <c r="C620" s="6" t="s">
        <v>36</v>
      </c>
      <c r="D620" s="6" t="s">
        <v>1060</v>
      </c>
      <c r="E620" s="6" t="s">
        <v>27</v>
      </c>
      <c r="F620" s="10">
        <v>2282259</v>
      </c>
      <c r="G620" s="6">
        <v>1</v>
      </c>
      <c r="H620" s="6" t="s">
        <v>37</v>
      </c>
      <c r="I620" s="6" t="s">
        <v>17</v>
      </c>
      <c r="J620" s="6" t="s">
        <v>23</v>
      </c>
      <c r="K620" s="6" t="s">
        <v>24</v>
      </c>
      <c r="L620" s="6"/>
      <c r="M620" s="6" t="str">
        <f t="shared" si="9"/>
        <v>Below 30L</v>
      </c>
    </row>
    <row r="621" spans="1:13" x14ac:dyDescent="0.25">
      <c r="A621" s="6" t="s">
        <v>661</v>
      </c>
      <c r="B621" s="7">
        <v>46163.034039351849</v>
      </c>
      <c r="C621" s="6" t="s">
        <v>36</v>
      </c>
      <c r="D621" s="6" t="s">
        <v>1062</v>
      </c>
      <c r="E621" s="6" t="s">
        <v>15</v>
      </c>
      <c r="F621" s="10">
        <v>3176968</v>
      </c>
      <c r="G621" s="6">
        <v>1</v>
      </c>
      <c r="H621" s="6" t="s">
        <v>37</v>
      </c>
      <c r="I621" s="6" t="s">
        <v>17</v>
      </c>
      <c r="J621" s="6" t="s">
        <v>23</v>
      </c>
      <c r="K621" s="6" t="s">
        <v>24</v>
      </c>
      <c r="L621" s="6"/>
      <c r="M621" s="6" t="str">
        <f t="shared" si="9"/>
        <v>30L-50L</v>
      </c>
    </row>
    <row r="622" spans="1:13" x14ac:dyDescent="0.25">
      <c r="A622" s="6" t="s">
        <v>662</v>
      </c>
      <c r="B622" s="7">
        <v>46163.260254629633</v>
      </c>
      <c r="C622" s="6" t="s">
        <v>13</v>
      </c>
      <c r="D622" s="6" t="s">
        <v>1060</v>
      </c>
      <c r="E622" s="6" t="s">
        <v>22</v>
      </c>
      <c r="F622" s="10">
        <v>6735122</v>
      </c>
      <c r="G622" s="6">
        <v>4</v>
      </c>
      <c r="H622" s="6" t="s">
        <v>37</v>
      </c>
      <c r="I622" s="6" t="s">
        <v>17</v>
      </c>
      <c r="J622" s="6" t="s">
        <v>23</v>
      </c>
      <c r="K622" s="6" t="s">
        <v>24</v>
      </c>
      <c r="L622" s="6"/>
      <c r="M622" s="6" t="str">
        <f t="shared" si="9"/>
        <v>50L-80L</v>
      </c>
    </row>
    <row r="623" spans="1:13" x14ac:dyDescent="0.25">
      <c r="A623" s="6" t="s">
        <v>663</v>
      </c>
      <c r="B623" s="7">
        <v>46163.486481481479</v>
      </c>
      <c r="C623" s="6" t="s">
        <v>26</v>
      </c>
      <c r="D623" s="6" t="s">
        <v>1059</v>
      </c>
      <c r="E623" s="6" t="s">
        <v>27</v>
      </c>
      <c r="F623" s="10">
        <v>3506996</v>
      </c>
      <c r="G623" s="6">
        <v>5</v>
      </c>
      <c r="H623" s="6" t="s">
        <v>37</v>
      </c>
      <c r="I623" s="6" t="s">
        <v>17</v>
      </c>
      <c r="J623" s="6" t="s">
        <v>23</v>
      </c>
      <c r="K623" s="6" t="s">
        <v>24</v>
      </c>
      <c r="L623" s="6"/>
      <c r="M623" s="6" t="str">
        <f t="shared" si="9"/>
        <v>30L-50L</v>
      </c>
    </row>
    <row r="624" spans="1:13" x14ac:dyDescent="0.25">
      <c r="A624" s="6" t="s">
        <v>664</v>
      </c>
      <c r="B624" s="7">
        <v>46163.712708333333</v>
      </c>
      <c r="C624" s="6" t="s">
        <v>26</v>
      </c>
      <c r="D624" s="6" t="s">
        <v>1060</v>
      </c>
      <c r="E624" s="6" t="s">
        <v>15</v>
      </c>
      <c r="F624" s="10">
        <v>6136793</v>
      </c>
      <c r="G624" s="6">
        <v>1</v>
      </c>
      <c r="H624" s="6" t="s">
        <v>16</v>
      </c>
      <c r="I624" s="6" t="s">
        <v>17</v>
      </c>
      <c r="J624" s="6" t="s">
        <v>23</v>
      </c>
      <c r="K624" s="6" t="s">
        <v>24</v>
      </c>
      <c r="L624" s="6"/>
      <c r="M624" s="6" t="str">
        <f t="shared" si="9"/>
        <v>50L-80L</v>
      </c>
    </row>
    <row r="625" spans="1:13" x14ac:dyDescent="0.25">
      <c r="A625" s="6" t="s">
        <v>665</v>
      </c>
      <c r="B625" s="7">
        <v>46163.938935185186</v>
      </c>
      <c r="C625" s="6" t="s">
        <v>20</v>
      </c>
      <c r="D625" s="6" t="s">
        <v>1061</v>
      </c>
      <c r="E625" s="6" t="s">
        <v>27</v>
      </c>
      <c r="F625" s="10">
        <v>2238591</v>
      </c>
      <c r="G625" s="6">
        <v>1</v>
      </c>
      <c r="H625" s="6" t="s">
        <v>16</v>
      </c>
      <c r="I625" s="6" t="s">
        <v>23</v>
      </c>
      <c r="J625" s="6" t="s">
        <v>23</v>
      </c>
      <c r="K625" s="6" t="s">
        <v>28</v>
      </c>
      <c r="L625" s="6"/>
      <c r="M625" s="6" t="str">
        <f t="shared" si="9"/>
        <v>Below 30L</v>
      </c>
    </row>
    <row r="626" spans="1:13" x14ac:dyDescent="0.25">
      <c r="A626" s="6" t="s">
        <v>666</v>
      </c>
      <c r="B626" s="7">
        <v>46164.165162037039</v>
      </c>
      <c r="C626" s="6" t="s">
        <v>30</v>
      </c>
      <c r="D626" s="6" t="s">
        <v>1059</v>
      </c>
      <c r="E626" s="6" t="s">
        <v>15</v>
      </c>
      <c r="F626" s="10">
        <v>4583794</v>
      </c>
      <c r="G626" s="6">
        <v>1</v>
      </c>
      <c r="H626" s="6" t="s">
        <v>16</v>
      </c>
      <c r="I626" s="6" t="s">
        <v>17</v>
      </c>
      <c r="J626" s="6" t="s">
        <v>17</v>
      </c>
      <c r="K626" s="6" t="s">
        <v>24</v>
      </c>
      <c r="L626" s="6"/>
      <c r="M626" s="6" t="str">
        <f t="shared" si="9"/>
        <v>30L-50L</v>
      </c>
    </row>
    <row r="627" spans="1:13" x14ac:dyDescent="0.25">
      <c r="A627" s="6" t="s">
        <v>667</v>
      </c>
      <c r="B627" s="7">
        <v>46164.391388888886</v>
      </c>
      <c r="C627" s="6" t="s">
        <v>26</v>
      </c>
      <c r="D627" s="6" t="s">
        <v>1062</v>
      </c>
      <c r="E627" s="6" t="s">
        <v>27</v>
      </c>
      <c r="F627" s="10">
        <v>2083510</v>
      </c>
      <c r="G627" s="6">
        <v>4</v>
      </c>
      <c r="H627" s="6" t="s">
        <v>16</v>
      </c>
      <c r="I627" s="6" t="s">
        <v>17</v>
      </c>
      <c r="J627" s="6" t="s">
        <v>17</v>
      </c>
      <c r="K627" s="6" t="s">
        <v>24</v>
      </c>
      <c r="L627" s="6"/>
      <c r="M627" s="6" t="str">
        <f t="shared" si="9"/>
        <v>Below 30L</v>
      </c>
    </row>
    <row r="628" spans="1:13" x14ac:dyDescent="0.25">
      <c r="A628" s="6" t="s">
        <v>668</v>
      </c>
      <c r="B628" s="7">
        <v>46164.617615740739</v>
      </c>
      <c r="C628" s="6" t="s">
        <v>20</v>
      </c>
      <c r="D628" s="6" t="s">
        <v>1059</v>
      </c>
      <c r="E628" s="6" t="s">
        <v>15</v>
      </c>
      <c r="F628" s="10">
        <v>5028037</v>
      </c>
      <c r="G628" s="6">
        <v>2</v>
      </c>
      <c r="H628" s="6" t="s">
        <v>37</v>
      </c>
      <c r="I628" s="6" t="s">
        <v>17</v>
      </c>
      <c r="J628" s="6" t="s">
        <v>23</v>
      </c>
      <c r="K628" s="6" t="s">
        <v>24</v>
      </c>
      <c r="L628" s="6"/>
      <c r="M628" s="6" t="str">
        <f t="shared" si="9"/>
        <v>50L-80L</v>
      </c>
    </row>
    <row r="629" spans="1:13" x14ac:dyDescent="0.25">
      <c r="A629" s="6" t="s">
        <v>669</v>
      </c>
      <c r="B629" s="7">
        <v>46164.843842592592</v>
      </c>
      <c r="C629" s="6" t="s">
        <v>36</v>
      </c>
      <c r="D629" s="6" t="s">
        <v>1060</v>
      </c>
      <c r="E629" s="6" t="s">
        <v>22</v>
      </c>
      <c r="F629" s="10">
        <v>6584668</v>
      </c>
      <c r="G629" s="6">
        <v>2</v>
      </c>
      <c r="H629" s="6" t="s">
        <v>16</v>
      </c>
      <c r="I629" s="6" t="s">
        <v>17</v>
      </c>
      <c r="J629" s="6" t="s">
        <v>23</v>
      </c>
      <c r="K629" s="6" t="s">
        <v>24</v>
      </c>
      <c r="L629" s="6"/>
      <c r="M629" s="6" t="str">
        <f t="shared" si="9"/>
        <v>50L-80L</v>
      </c>
    </row>
    <row r="630" spans="1:13" x14ac:dyDescent="0.25">
      <c r="A630" s="6" t="s">
        <v>670</v>
      </c>
      <c r="B630" s="7">
        <v>46165.070069444446</v>
      </c>
      <c r="C630" s="6" t="s">
        <v>13</v>
      </c>
      <c r="D630" s="6" t="s">
        <v>1059</v>
      </c>
      <c r="E630" s="6" t="s">
        <v>15</v>
      </c>
      <c r="F630" s="10">
        <v>8193482</v>
      </c>
      <c r="G630" s="6">
        <v>3</v>
      </c>
      <c r="H630" s="6" t="s">
        <v>37</v>
      </c>
      <c r="I630" s="6" t="s">
        <v>23</v>
      </c>
      <c r="J630" s="6" t="s">
        <v>23</v>
      </c>
      <c r="K630" s="6" t="s">
        <v>28</v>
      </c>
      <c r="L630" s="6"/>
      <c r="M630" s="6" t="str">
        <f t="shared" si="9"/>
        <v>80L-1.2Cr</v>
      </c>
    </row>
    <row r="631" spans="1:13" x14ac:dyDescent="0.25">
      <c r="A631" s="6" t="s">
        <v>671</v>
      </c>
      <c r="B631" s="7">
        <v>46165.296296296299</v>
      </c>
      <c r="C631" s="6" t="s">
        <v>26</v>
      </c>
      <c r="D631" s="6" t="s">
        <v>1060</v>
      </c>
      <c r="E631" s="6" t="s">
        <v>15</v>
      </c>
      <c r="F631" s="10">
        <v>3964190</v>
      </c>
      <c r="G631" s="6">
        <v>4</v>
      </c>
      <c r="H631" s="6" t="s">
        <v>16</v>
      </c>
      <c r="I631" s="6" t="s">
        <v>17</v>
      </c>
      <c r="J631" s="6" t="s">
        <v>23</v>
      </c>
      <c r="K631" s="6" t="s">
        <v>18</v>
      </c>
      <c r="L631" s="6">
        <v>3800000</v>
      </c>
      <c r="M631" s="6" t="str">
        <f t="shared" si="9"/>
        <v>30L-50L</v>
      </c>
    </row>
    <row r="632" spans="1:13" x14ac:dyDescent="0.25">
      <c r="A632" s="6" t="s">
        <v>672</v>
      </c>
      <c r="B632" s="7">
        <v>46165.522523148145</v>
      </c>
      <c r="C632" s="6" t="s">
        <v>30</v>
      </c>
      <c r="D632" s="6" t="s">
        <v>1063</v>
      </c>
      <c r="E632" s="6" t="s">
        <v>22</v>
      </c>
      <c r="F632" s="10">
        <v>15081363</v>
      </c>
      <c r="G632" s="6">
        <v>3</v>
      </c>
      <c r="H632" s="6" t="s">
        <v>37</v>
      </c>
      <c r="I632" s="6" t="s">
        <v>23</v>
      </c>
      <c r="J632" s="6" t="s">
        <v>23</v>
      </c>
      <c r="K632" s="6" t="s">
        <v>28</v>
      </c>
      <c r="L632" s="6"/>
      <c r="M632" s="6" t="str">
        <f t="shared" si="9"/>
        <v>Above 1.2Cr</v>
      </c>
    </row>
    <row r="633" spans="1:13" x14ac:dyDescent="0.25">
      <c r="A633" s="6" t="s">
        <v>673</v>
      </c>
      <c r="B633" s="7">
        <v>46165.748749999999</v>
      </c>
      <c r="C633" s="6" t="s">
        <v>36</v>
      </c>
      <c r="D633" s="6" t="s">
        <v>21</v>
      </c>
      <c r="E633" s="6" t="s">
        <v>22</v>
      </c>
      <c r="F633" s="10">
        <v>7041566</v>
      </c>
      <c r="G633" s="6">
        <v>3</v>
      </c>
      <c r="H633" s="6" t="s">
        <v>37</v>
      </c>
      <c r="I633" s="6" t="s">
        <v>17</v>
      </c>
      <c r="J633" s="6" t="s">
        <v>23</v>
      </c>
      <c r="K633" s="6" t="s">
        <v>24</v>
      </c>
      <c r="L633" s="6"/>
      <c r="M633" s="6" t="str">
        <f t="shared" si="9"/>
        <v>50L-80L</v>
      </c>
    </row>
    <row r="634" spans="1:13" x14ac:dyDescent="0.25">
      <c r="A634" s="6" t="s">
        <v>674</v>
      </c>
      <c r="B634" s="7">
        <v>46165.974976851852</v>
      </c>
      <c r="C634" s="6" t="s">
        <v>20</v>
      </c>
      <c r="D634" s="6" t="s">
        <v>1062</v>
      </c>
      <c r="E634" s="6" t="s">
        <v>15</v>
      </c>
      <c r="F634" s="10">
        <v>5231577</v>
      </c>
      <c r="G634" s="6">
        <v>1</v>
      </c>
      <c r="H634" s="6" t="s">
        <v>37</v>
      </c>
      <c r="I634" s="6" t="s">
        <v>23</v>
      </c>
      <c r="J634" s="6" t="s">
        <v>23</v>
      </c>
      <c r="K634" s="6" t="s">
        <v>28</v>
      </c>
      <c r="L634" s="6"/>
      <c r="M634" s="6" t="str">
        <f t="shared" si="9"/>
        <v>50L-80L</v>
      </c>
    </row>
    <row r="635" spans="1:13" x14ac:dyDescent="0.25">
      <c r="A635" s="6" t="s">
        <v>675</v>
      </c>
      <c r="B635" s="7">
        <v>46166.201203703706</v>
      </c>
      <c r="C635" s="6" t="s">
        <v>20</v>
      </c>
      <c r="D635" s="6" t="s">
        <v>1063</v>
      </c>
      <c r="E635" s="6" t="s">
        <v>15</v>
      </c>
      <c r="F635" s="10">
        <v>5387199</v>
      </c>
      <c r="G635" s="6">
        <v>3</v>
      </c>
      <c r="H635" s="6" t="s">
        <v>16</v>
      </c>
      <c r="I635" s="6" t="s">
        <v>17</v>
      </c>
      <c r="J635" s="6" t="s">
        <v>23</v>
      </c>
      <c r="K635" s="6" t="s">
        <v>24</v>
      </c>
      <c r="L635" s="6"/>
      <c r="M635" s="6" t="str">
        <f t="shared" si="9"/>
        <v>50L-80L</v>
      </c>
    </row>
    <row r="636" spans="1:13" x14ac:dyDescent="0.25">
      <c r="A636" s="6" t="s">
        <v>676</v>
      </c>
      <c r="B636" s="7">
        <v>46166.427430555559</v>
      </c>
      <c r="C636" s="6" t="s">
        <v>13</v>
      </c>
      <c r="D636" s="6" t="s">
        <v>1061</v>
      </c>
      <c r="E636" s="6" t="s">
        <v>22</v>
      </c>
      <c r="F636" s="10">
        <v>7835295</v>
      </c>
      <c r="G636" s="6">
        <v>4</v>
      </c>
      <c r="H636" s="6" t="s">
        <v>16</v>
      </c>
      <c r="I636" s="6" t="s">
        <v>17</v>
      </c>
      <c r="J636" s="6" t="s">
        <v>17</v>
      </c>
      <c r="K636" s="6" t="s">
        <v>24</v>
      </c>
      <c r="L636" s="6"/>
      <c r="M636" s="6" t="str">
        <f t="shared" si="9"/>
        <v>50L-80L</v>
      </c>
    </row>
    <row r="637" spans="1:13" x14ac:dyDescent="0.25">
      <c r="A637" s="6" t="s">
        <v>677</v>
      </c>
      <c r="B637" s="7">
        <v>46166.653657407405</v>
      </c>
      <c r="C637" s="6" t="s">
        <v>20</v>
      </c>
      <c r="D637" s="6" t="s">
        <v>1059</v>
      </c>
      <c r="E637" s="6" t="s">
        <v>22</v>
      </c>
      <c r="F637" s="10">
        <v>8747668</v>
      </c>
      <c r="G637" s="6">
        <v>6</v>
      </c>
      <c r="H637" s="6" t="s">
        <v>16</v>
      </c>
      <c r="I637" s="6" t="s">
        <v>17</v>
      </c>
      <c r="J637" s="6" t="s">
        <v>17</v>
      </c>
      <c r="K637" s="6" t="s">
        <v>24</v>
      </c>
      <c r="L637" s="6"/>
      <c r="M637" s="6" t="str">
        <f t="shared" si="9"/>
        <v>80L-1.2Cr</v>
      </c>
    </row>
    <row r="638" spans="1:13" x14ac:dyDescent="0.25">
      <c r="A638" s="6" t="s">
        <v>678</v>
      </c>
      <c r="B638" s="7">
        <v>46166.879884259259</v>
      </c>
      <c r="C638" s="6" t="s">
        <v>20</v>
      </c>
      <c r="D638" s="6" t="s">
        <v>21</v>
      </c>
      <c r="E638" s="6" t="s">
        <v>27</v>
      </c>
      <c r="F638" s="10">
        <v>2014241</v>
      </c>
      <c r="G638" s="6">
        <v>1</v>
      </c>
      <c r="H638" s="6" t="s">
        <v>37</v>
      </c>
      <c r="I638" s="6" t="s">
        <v>23</v>
      </c>
      <c r="J638" s="6" t="s">
        <v>23</v>
      </c>
      <c r="K638" s="6" t="s">
        <v>28</v>
      </c>
      <c r="L638" s="6"/>
      <c r="M638" s="6" t="str">
        <f t="shared" si="9"/>
        <v>Below 30L</v>
      </c>
    </row>
    <row r="639" spans="1:13" x14ac:dyDescent="0.25">
      <c r="A639" s="6" t="s">
        <v>679</v>
      </c>
      <c r="B639" s="7">
        <v>46167.106111111112</v>
      </c>
      <c r="C639" s="6" t="s">
        <v>26</v>
      </c>
      <c r="D639" s="6" t="s">
        <v>1059</v>
      </c>
      <c r="E639" s="6" t="s">
        <v>22</v>
      </c>
      <c r="F639" s="10">
        <v>7417231</v>
      </c>
      <c r="G639" s="6">
        <v>1</v>
      </c>
      <c r="H639" s="6" t="s">
        <v>37</v>
      </c>
      <c r="I639" s="6" t="s">
        <v>17</v>
      </c>
      <c r="J639" s="6" t="s">
        <v>23</v>
      </c>
      <c r="K639" s="6" t="s">
        <v>24</v>
      </c>
      <c r="L639" s="6"/>
      <c r="M639" s="6" t="str">
        <f t="shared" si="9"/>
        <v>50L-80L</v>
      </c>
    </row>
    <row r="640" spans="1:13" x14ac:dyDescent="0.25">
      <c r="A640" s="6" t="s">
        <v>680</v>
      </c>
      <c r="B640" s="7">
        <v>46167.332337962966</v>
      </c>
      <c r="C640" s="6" t="s">
        <v>26</v>
      </c>
      <c r="D640" s="6" t="s">
        <v>1061</v>
      </c>
      <c r="E640" s="6" t="s">
        <v>27</v>
      </c>
      <c r="F640" s="10">
        <v>2027466</v>
      </c>
      <c r="G640" s="6">
        <v>1</v>
      </c>
      <c r="H640" s="6" t="s">
        <v>16</v>
      </c>
      <c r="I640" s="6" t="s">
        <v>17</v>
      </c>
      <c r="J640" s="6" t="s">
        <v>23</v>
      </c>
      <c r="K640" s="6" t="s">
        <v>18</v>
      </c>
      <c r="L640" s="6">
        <v>2050000</v>
      </c>
      <c r="M640" s="6" t="str">
        <f t="shared" si="9"/>
        <v>Below 30L</v>
      </c>
    </row>
    <row r="641" spans="1:13" x14ac:dyDescent="0.25">
      <c r="A641" s="6" t="s">
        <v>681</v>
      </c>
      <c r="B641" s="7">
        <v>46167.558553240742</v>
      </c>
      <c r="C641" s="6" t="s">
        <v>26</v>
      </c>
      <c r="D641" s="6" t="s">
        <v>1061</v>
      </c>
      <c r="E641" s="6" t="s">
        <v>22</v>
      </c>
      <c r="F641" s="10">
        <v>7151882</v>
      </c>
      <c r="G641" s="6">
        <v>2</v>
      </c>
      <c r="H641" s="6" t="s">
        <v>16</v>
      </c>
      <c r="I641" s="6" t="s">
        <v>23</v>
      </c>
      <c r="J641" s="6" t="s">
        <v>23</v>
      </c>
      <c r="K641" s="6" t="s">
        <v>28</v>
      </c>
      <c r="L641" s="6"/>
      <c r="M641" s="6" t="str">
        <f t="shared" si="9"/>
        <v>50L-80L</v>
      </c>
    </row>
    <row r="642" spans="1:13" x14ac:dyDescent="0.25">
      <c r="A642" s="6" t="s">
        <v>682</v>
      </c>
      <c r="B642" s="7">
        <v>46167.784780092596</v>
      </c>
      <c r="C642" s="6" t="s">
        <v>13</v>
      </c>
      <c r="D642" s="6" t="s">
        <v>1060</v>
      </c>
      <c r="E642" s="6" t="s">
        <v>15</v>
      </c>
      <c r="F642" s="10">
        <v>5444132</v>
      </c>
      <c r="G642" s="6">
        <v>4</v>
      </c>
      <c r="H642" s="6" t="s">
        <v>37</v>
      </c>
      <c r="I642" s="6" t="s">
        <v>23</v>
      </c>
      <c r="J642" s="6" t="s">
        <v>23</v>
      </c>
      <c r="K642" s="6" t="s">
        <v>28</v>
      </c>
      <c r="L642" s="6"/>
      <c r="M642" s="6" t="str">
        <f t="shared" ref="M642:M705" si="10">IF(F642&lt;3000000,"Below 30L",IF(F642&lt;5000000,"30L-50L",IF(F642&lt;8000000,"50L-80L",IF(F642&lt;12000000,"80L-1.2Cr","Above 1.2Cr"))))</f>
        <v>50L-80L</v>
      </c>
    </row>
    <row r="643" spans="1:13" x14ac:dyDescent="0.25">
      <c r="A643" s="6" t="s">
        <v>683</v>
      </c>
      <c r="B643" s="7">
        <v>46168.011006944442</v>
      </c>
      <c r="C643" s="6" t="s">
        <v>26</v>
      </c>
      <c r="D643" s="6" t="s">
        <v>1063</v>
      </c>
      <c r="E643" s="6" t="s">
        <v>15</v>
      </c>
      <c r="F643" s="10">
        <v>5200271</v>
      </c>
      <c r="G643" s="6">
        <v>1</v>
      </c>
      <c r="H643" s="6" t="s">
        <v>16</v>
      </c>
      <c r="I643" s="6" t="s">
        <v>17</v>
      </c>
      <c r="J643" s="6" t="s">
        <v>23</v>
      </c>
      <c r="K643" s="6" t="s">
        <v>24</v>
      </c>
      <c r="L643" s="6"/>
      <c r="M643" s="6" t="str">
        <f t="shared" si="10"/>
        <v>50L-80L</v>
      </c>
    </row>
    <row r="644" spans="1:13" x14ac:dyDescent="0.25">
      <c r="A644" s="6" t="s">
        <v>684</v>
      </c>
      <c r="B644" s="7">
        <v>46168.237233796295</v>
      </c>
      <c r="C644" s="6" t="s">
        <v>26</v>
      </c>
      <c r="D644" s="6" t="s">
        <v>1060</v>
      </c>
      <c r="E644" s="6" t="s">
        <v>22</v>
      </c>
      <c r="F644" s="10">
        <v>8928639</v>
      </c>
      <c r="G644" s="6">
        <v>2</v>
      </c>
      <c r="H644" s="6" t="s">
        <v>37</v>
      </c>
      <c r="I644" s="6" t="s">
        <v>17</v>
      </c>
      <c r="J644" s="6" t="s">
        <v>23</v>
      </c>
      <c r="K644" s="6" t="s">
        <v>24</v>
      </c>
      <c r="L644" s="6"/>
      <c r="M644" s="6" t="str">
        <f t="shared" si="10"/>
        <v>80L-1.2Cr</v>
      </c>
    </row>
    <row r="645" spans="1:13" x14ac:dyDescent="0.25">
      <c r="A645" s="6" t="s">
        <v>685</v>
      </c>
      <c r="B645" s="7">
        <v>46168.463460648149</v>
      </c>
      <c r="C645" s="6" t="s">
        <v>26</v>
      </c>
      <c r="D645" s="6" t="s">
        <v>1062</v>
      </c>
      <c r="E645" s="6" t="s">
        <v>22</v>
      </c>
      <c r="F645" s="10">
        <v>8692459</v>
      </c>
      <c r="G645" s="6">
        <v>2</v>
      </c>
      <c r="H645" s="6" t="s">
        <v>16</v>
      </c>
      <c r="I645" s="6" t="s">
        <v>17</v>
      </c>
      <c r="J645" s="6" t="s">
        <v>23</v>
      </c>
      <c r="K645" s="6" t="s">
        <v>24</v>
      </c>
      <c r="L645" s="6"/>
      <c r="M645" s="6" t="str">
        <f t="shared" si="10"/>
        <v>80L-1.2Cr</v>
      </c>
    </row>
    <row r="646" spans="1:13" x14ac:dyDescent="0.25">
      <c r="A646" s="6" t="s">
        <v>686</v>
      </c>
      <c r="B646" s="7">
        <v>46168.689687500002</v>
      </c>
      <c r="C646" s="6" t="s">
        <v>13</v>
      </c>
      <c r="D646" s="6" t="s">
        <v>1059</v>
      </c>
      <c r="E646" s="6" t="s">
        <v>15</v>
      </c>
      <c r="F646" s="10">
        <v>7024609</v>
      </c>
      <c r="G646" s="6">
        <v>1</v>
      </c>
      <c r="H646" s="6" t="s">
        <v>16</v>
      </c>
      <c r="I646" s="6" t="s">
        <v>23</v>
      </c>
      <c r="J646" s="6" t="s">
        <v>23</v>
      </c>
      <c r="K646" s="6" t="s">
        <v>28</v>
      </c>
      <c r="L646" s="6"/>
      <c r="M646" s="6" t="str">
        <f t="shared" si="10"/>
        <v>50L-80L</v>
      </c>
    </row>
    <row r="647" spans="1:13" x14ac:dyDescent="0.25">
      <c r="A647" s="6" t="s">
        <v>687</v>
      </c>
      <c r="B647" s="7">
        <v>46168.915914351855</v>
      </c>
      <c r="C647" s="6" t="s">
        <v>36</v>
      </c>
      <c r="D647" s="6" t="s">
        <v>1063</v>
      </c>
      <c r="E647" s="6" t="s">
        <v>15</v>
      </c>
      <c r="F647" s="10">
        <v>5177045</v>
      </c>
      <c r="G647" s="6">
        <v>2</v>
      </c>
      <c r="H647" s="6" t="s">
        <v>16</v>
      </c>
      <c r="I647" s="6" t="s">
        <v>17</v>
      </c>
      <c r="J647" s="6" t="s">
        <v>23</v>
      </c>
      <c r="K647" s="6" t="s">
        <v>24</v>
      </c>
      <c r="L647" s="6"/>
      <c r="M647" s="6" t="str">
        <f t="shared" si="10"/>
        <v>50L-80L</v>
      </c>
    </row>
    <row r="648" spans="1:13" x14ac:dyDescent="0.25">
      <c r="A648" s="6" t="s">
        <v>688</v>
      </c>
      <c r="B648" s="7">
        <v>46169.142141203702</v>
      </c>
      <c r="C648" s="6" t="s">
        <v>30</v>
      </c>
      <c r="D648" s="6" t="s">
        <v>1059</v>
      </c>
      <c r="E648" s="6" t="s">
        <v>27</v>
      </c>
      <c r="F648" s="10">
        <v>3415106</v>
      </c>
      <c r="G648" s="6">
        <v>2</v>
      </c>
      <c r="H648" s="6" t="s">
        <v>16</v>
      </c>
      <c r="I648" s="6" t="s">
        <v>23</v>
      </c>
      <c r="J648" s="6" t="s">
        <v>23</v>
      </c>
      <c r="K648" s="6" t="s">
        <v>28</v>
      </c>
      <c r="L648" s="6"/>
      <c r="M648" s="6" t="str">
        <f t="shared" si="10"/>
        <v>30L-50L</v>
      </c>
    </row>
    <row r="649" spans="1:13" x14ac:dyDescent="0.25">
      <c r="A649" s="6" t="s">
        <v>689</v>
      </c>
      <c r="B649" s="7">
        <v>46169.368368055555</v>
      </c>
      <c r="C649" s="6" t="s">
        <v>30</v>
      </c>
      <c r="D649" s="6" t="s">
        <v>1063</v>
      </c>
      <c r="E649" s="6" t="s">
        <v>15</v>
      </c>
      <c r="F649" s="10">
        <v>6252836</v>
      </c>
      <c r="G649" s="6">
        <v>2</v>
      </c>
      <c r="H649" s="6" t="s">
        <v>16</v>
      </c>
      <c r="I649" s="6" t="s">
        <v>23</v>
      </c>
      <c r="J649" s="6" t="s">
        <v>23</v>
      </c>
      <c r="K649" s="6" t="s">
        <v>28</v>
      </c>
      <c r="L649" s="6"/>
      <c r="M649" s="6" t="str">
        <f t="shared" si="10"/>
        <v>50L-80L</v>
      </c>
    </row>
    <row r="650" spans="1:13" x14ac:dyDescent="0.25">
      <c r="A650" s="6" t="s">
        <v>690</v>
      </c>
      <c r="B650" s="7">
        <v>46169.594594907408</v>
      </c>
      <c r="C650" s="6" t="s">
        <v>36</v>
      </c>
      <c r="D650" s="6" t="s">
        <v>1063</v>
      </c>
      <c r="E650" s="6" t="s">
        <v>15</v>
      </c>
      <c r="F650" s="10">
        <v>4003466</v>
      </c>
      <c r="G650" s="6">
        <v>4</v>
      </c>
      <c r="H650" s="6" t="s">
        <v>16</v>
      </c>
      <c r="I650" s="6" t="s">
        <v>23</v>
      </c>
      <c r="J650" s="6" t="s">
        <v>23</v>
      </c>
      <c r="K650" s="6" t="s">
        <v>28</v>
      </c>
      <c r="L650" s="6"/>
      <c r="M650" s="6" t="str">
        <f t="shared" si="10"/>
        <v>30L-50L</v>
      </c>
    </row>
    <row r="651" spans="1:13" x14ac:dyDescent="0.25">
      <c r="A651" s="6" t="s">
        <v>691</v>
      </c>
      <c r="B651" s="7">
        <v>46169.820821759262</v>
      </c>
      <c r="C651" s="6" t="s">
        <v>20</v>
      </c>
      <c r="D651" s="6" t="s">
        <v>1062</v>
      </c>
      <c r="E651" s="6" t="s">
        <v>15</v>
      </c>
      <c r="F651" s="10">
        <v>6546251</v>
      </c>
      <c r="G651" s="6">
        <v>3</v>
      </c>
      <c r="H651" s="6" t="s">
        <v>16</v>
      </c>
      <c r="I651" s="6" t="s">
        <v>23</v>
      </c>
      <c r="J651" s="6" t="s">
        <v>23</v>
      </c>
      <c r="K651" s="6" t="s">
        <v>28</v>
      </c>
      <c r="L651" s="6"/>
      <c r="M651" s="6" t="str">
        <f t="shared" si="10"/>
        <v>50L-80L</v>
      </c>
    </row>
    <row r="652" spans="1:13" x14ac:dyDescent="0.25">
      <c r="A652" s="6" t="s">
        <v>692</v>
      </c>
      <c r="B652" s="7">
        <v>46170.047048611108</v>
      </c>
      <c r="C652" s="6" t="s">
        <v>13</v>
      </c>
      <c r="D652" s="6" t="s">
        <v>1059</v>
      </c>
      <c r="E652" s="6" t="s">
        <v>15</v>
      </c>
      <c r="F652" s="10">
        <v>7850851</v>
      </c>
      <c r="G652" s="6">
        <v>1</v>
      </c>
      <c r="H652" s="6" t="s">
        <v>16</v>
      </c>
      <c r="I652" s="6" t="s">
        <v>17</v>
      </c>
      <c r="J652" s="6" t="s">
        <v>23</v>
      </c>
      <c r="K652" s="6" t="s">
        <v>24</v>
      </c>
      <c r="L652" s="6"/>
      <c r="M652" s="6" t="str">
        <f t="shared" si="10"/>
        <v>50L-80L</v>
      </c>
    </row>
    <row r="653" spans="1:13" x14ac:dyDescent="0.25">
      <c r="A653" s="6" t="s">
        <v>693</v>
      </c>
      <c r="B653" s="7">
        <v>46170.273275462961</v>
      </c>
      <c r="C653" s="6" t="s">
        <v>20</v>
      </c>
      <c r="D653" s="6" t="s">
        <v>21</v>
      </c>
      <c r="E653" s="6" t="s">
        <v>15</v>
      </c>
      <c r="F653" s="10">
        <v>3920041</v>
      </c>
      <c r="G653" s="6">
        <v>6</v>
      </c>
      <c r="H653" s="6" t="s">
        <v>16</v>
      </c>
      <c r="I653" s="6" t="s">
        <v>17</v>
      </c>
      <c r="J653" s="6" t="s">
        <v>23</v>
      </c>
      <c r="K653" s="6" t="s">
        <v>18</v>
      </c>
      <c r="L653" s="6">
        <v>3650000</v>
      </c>
      <c r="M653" s="6" t="str">
        <f t="shared" si="10"/>
        <v>30L-50L</v>
      </c>
    </row>
    <row r="654" spans="1:13" x14ac:dyDescent="0.25">
      <c r="A654" s="6" t="s">
        <v>694</v>
      </c>
      <c r="B654" s="7">
        <v>46170.499502314815</v>
      </c>
      <c r="C654" s="6" t="s">
        <v>30</v>
      </c>
      <c r="D654" s="6" t="s">
        <v>1059</v>
      </c>
      <c r="E654" s="6" t="s">
        <v>15</v>
      </c>
      <c r="F654" s="10">
        <v>8943446</v>
      </c>
      <c r="G654" s="6">
        <v>3</v>
      </c>
      <c r="H654" s="6" t="s">
        <v>37</v>
      </c>
      <c r="I654" s="6" t="s">
        <v>23</v>
      </c>
      <c r="J654" s="6" t="s">
        <v>23</v>
      </c>
      <c r="K654" s="6" t="s">
        <v>28</v>
      </c>
      <c r="L654" s="6"/>
      <c r="M654" s="6" t="str">
        <f t="shared" si="10"/>
        <v>80L-1.2Cr</v>
      </c>
    </row>
    <row r="655" spans="1:13" x14ac:dyDescent="0.25">
      <c r="A655" s="6" t="s">
        <v>695</v>
      </c>
      <c r="B655" s="7">
        <v>46170.725729166668</v>
      </c>
      <c r="C655" s="6" t="s">
        <v>36</v>
      </c>
      <c r="D655" s="6" t="s">
        <v>21</v>
      </c>
      <c r="E655" s="6" t="s">
        <v>15</v>
      </c>
      <c r="F655" s="10">
        <v>6233264</v>
      </c>
      <c r="G655" s="6">
        <v>4</v>
      </c>
      <c r="H655" s="6" t="s">
        <v>37</v>
      </c>
      <c r="I655" s="6" t="s">
        <v>23</v>
      </c>
      <c r="J655" s="6" t="s">
        <v>23</v>
      </c>
      <c r="K655" s="6" t="s">
        <v>28</v>
      </c>
      <c r="L655" s="6"/>
      <c r="M655" s="6" t="str">
        <f t="shared" si="10"/>
        <v>50L-80L</v>
      </c>
    </row>
    <row r="656" spans="1:13" x14ac:dyDescent="0.25">
      <c r="A656" s="6" t="s">
        <v>696</v>
      </c>
      <c r="B656" s="7">
        <v>46170.951956018522</v>
      </c>
      <c r="C656" s="6" t="s">
        <v>20</v>
      </c>
      <c r="D656" s="6" t="s">
        <v>1059</v>
      </c>
      <c r="E656" s="6" t="s">
        <v>22</v>
      </c>
      <c r="F656" s="10">
        <v>7587893</v>
      </c>
      <c r="G656" s="6">
        <v>1</v>
      </c>
      <c r="H656" s="6" t="s">
        <v>37</v>
      </c>
      <c r="I656" s="6" t="s">
        <v>17</v>
      </c>
      <c r="J656" s="6" t="s">
        <v>23</v>
      </c>
      <c r="K656" s="6" t="s">
        <v>24</v>
      </c>
      <c r="L656" s="6"/>
      <c r="M656" s="6" t="str">
        <f t="shared" si="10"/>
        <v>50L-80L</v>
      </c>
    </row>
    <row r="657" spans="1:13" x14ac:dyDescent="0.25">
      <c r="A657" s="6" t="s">
        <v>697</v>
      </c>
      <c r="B657" s="7">
        <v>46171.178182870368</v>
      </c>
      <c r="C657" s="6" t="s">
        <v>13</v>
      </c>
      <c r="D657" s="6" t="s">
        <v>1061</v>
      </c>
      <c r="E657" s="6" t="s">
        <v>15</v>
      </c>
      <c r="F657" s="10">
        <v>3188069</v>
      </c>
      <c r="G657" s="6">
        <v>1</v>
      </c>
      <c r="H657" s="6" t="s">
        <v>37</v>
      </c>
      <c r="I657" s="6" t="s">
        <v>23</v>
      </c>
      <c r="J657" s="6" t="s">
        <v>23</v>
      </c>
      <c r="K657" s="6" t="s">
        <v>28</v>
      </c>
      <c r="L657" s="6"/>
      <c r="M657" s="6" t="str">
        <f t="shared" si="10"/>
        <v>30L-50L</v>
      </c>
    </row>
    <row r="658" spans="1:13" x14ac:dyDescent="0.25">
      <c r="A658" s="6" t="s">
        <v>698</v>
      </c>
      <c r="B658" s="7">
        <v>46171.404409722221</v>
      </c>
      <c r="C658" s="6" t="s">
        <v>26</v>
      </c>
      <c r="D658" s="6" t="s">
        <v>1060</v>
      </c>
      <c r="E658" s="6" t="s">
        <v>27</v>
      </c>
      <c r="F658" s="10">
        <v>2873279</v>
      </c>
      <c r="G658" s="6">
        <v>1</v>
      </c>
      <c r="H658" s="6" t="s">
        <v>37</v>
      </c>
      <c r="I658" s="6" t="s">
        <v>23</v>
      </c>
      <c r="J658" s="6" t="s">
        <v>23</v>
      </c>
      <c r="K658" s="6" t="s">
        <v>28</v>
      </c>
      <c r="L658" s="6"/>
      <c r="M658" s="6" t="str">
        <f t="shared" si="10"/>
        <v>Below 30L</v>
      </c>
    </row>
    <row r="659" spans="1:13" x14ac:dyDescent="0.25">
      <c r="A659" s="6" t="s">
        <v>699</v>
      </c>
      <c r="B659" s="7">
        <v>46171.630624999998</v>
      </c>
      <c r="C659" s="6" t="s">
        <v>26</v>
      </c>
      <c r="D659" s="6" t="s">
        <v>21</v>
      </c>
      <c r="E659" s="6" t="s">
        <v>27</v>
      </c>
      <c r="F659" s="10">
        <v>2319497</v>
      </c>
      <c r="G659" s="6">
        <v>1</v>
      </c>
      <c r="H659" s="6" t="s">
        <v>16</v>
      </c>
      <c r="I659" s="6" t="s">
        <v>23</v>
      </c>
      <c r="J659" s="6" t="s">
        <v>23</v>
      </c>
      <c r="K659" s="6" t="s">
        <v>28</v>
      </c>
      <c r="L659" s="6"/>
      <c r="M659" s="6" t="str">
        <f t="shared" si="10"/>
        <v>Below 30L</v>
      </c>
    </row>
    <row r="660" spans="1:13" x14ac:dyDescent="0.25">
      <c r="A660" s="6" t="s">
        <v>700</v>
      </c>
      <c r="B660" s="7">
        <v>46171.856851851851</v>
      </c>
      <c r="C660" s="6" t="s">
        <v>30</v>
      </c>
      <c r="D660" s="6" t="s">
        <v>21</v>
      </c>
      <c r="E660" s="6" t="s">
        <v>15</v>
      </c>
      <c r="F660" s="10">
        <v>4418060</v>
      </c>
      <c r="G660" s="6">
        <v>2</v>
      </c>
      <c r="H660" s="6" t="s">
        <v>37</v>
      </c>
      <c r="I660" s="6" t="s">
        <v>23</v>
      </c>
      <c r="J660" s="6" t="s">
        <v>17</v>
      </c>
      <c r="K660" s="6" t="s">
        <v>28</v>
      </c>
      <c r="L660" s="6"/>
      <c r="M660" s="6" t="str">
        <f t="shared" si="10"/>
        <v>30L-50L</v>
      </c>
    </row>
    <row r="661" spans="1:13" x14ac:dyDescent="0.25">
      <c r="A661" s="6" t="s">
        <v>701</v>
      </c>
      <c r="B661" s="7">
        <v>46172.083078703705</v>
      </c>
      <c r="C661" s="6" t="s">
        <v>20</v>
      </c>
      <c r="D661" s="6" t="s">
        <v>1060</v>
      </c>
      <c r="E661" s="6" t="s">
        <v>22</v>
      </c>
      <c r="F661" s="10">
        <v>8944719</v>
      </c>
      <c r="G661" s="6">
        <v>5</v>
      </c>
      <c r="H661" s="6" t="s">
        <v>16</v>
      </c>
      <c r="I661" s="6" t="s">
        <v>17</v>
      </c>
      <c r="J661" s="6" t="s">
        <v>23</v>
      </c>
      <c r="K661" s="6" t="s">
        <v>24</v>
      </c>
      <c r="L661" s="6"/>
      <c r="M661" s="6" t="str">
        <f t="shared" si="10"/>
        <v>80L-1.2Cr</v>
      </c>
    </row>
    <row r="662" spans="1:13" x14ac:dyDescent="0.25">
      <c r="A662" s="6" t="s">
        <v>702</v>
      </c>
      <c r="B662" s="7">
        <v>46172.309305555558</v>
      </c>
      <c r="C662" s="6" t="s">
        <v>26</v>
      </c>
      <c r="D662" s="6" t="s">
        <v>1062</v>
      </c>
      <c r="E662" s="6" t="s">
        <v>15</v>
      </c>
      <c r="F662" s="10">
        <v>3491215</v>
      </c>
      <c r="G662" s="6">
        <v>2</v>
      </c>
      <c r="H662" s="6" t="s">
        <v>16</v>
      </c>
      <c r="I662" s="6" t="s">
        <v>23</v>
      </c>
      <c r="J662" s="6" t="s">
        <v>17</v>
      </c>
      <c r="K662" s="6" t="s">
        <v>18</v>
      </c>
      <c r="L662" s="6">
        <v>3650000</v>
      </c>
      <c r="M662" s="6" t="str">
        <f t="shared" si="10"/>
        <v>30L-50L</v>
      </c>
    </row>
    <row r="663" spans="1:13" x14ac:dyDescent="0.25">
      <c r="A663" s="6" t="s">
        <v>703</v>
      </c>
      <c r="B663" s="7">
        <v>46172.535532407404</v>
      </c>
      <c r="C663" s="6" t="s">
        <v>33</v>
      </c>
      <c r="D663" s="6" t="s">
        <v>1060</v>
      </c>
      <c r="E663" s="6" t="s">
        <v>27</v>
      </c>
      <c r="F663" s="10">
        <v>2897203</v>
      </c>
      <c r="G663" s="6">
        <v>2</v>
      </c>
      <c r="H663" s="6" t="s">
        <v>16</v>
      </c>
      <c r="I663" s="6" t="s">
        <v>23</v>
      </c>
      <c r="J663" s="6" t="s">
        <v>17</v>
      </c>
      <c r="K663" s="6" t="s">
        <v>28</v>
      </c>
      <c r="L663" s="6"/>
      <c r="M663" s="6" t="str">
        <f t="shared" si="10"/>
        <v>Below 30L</v>
      </c>
    </row>
    <row r="664" spans="1:13" x14ac:dyDescent="0.25">
      <c r="A664" s="6" t="s">
        <v>704</v>
      </c>
      <c r="B664" s="7">
        <v>46172.761759259258</v>
      </c>
      <c r="C664" s="6" t="s">
        <v>30</v>
      </c>
      <c r="D664" s="6" t="s">
        <v>1061</v>
      </c>
      <c r="E664" s="6" t="s">
        <v>15</v>
      </c>
      <c r="F664" s="10">
        <v>5185339</v>
      </c>
      <c r="G664" s="6">
        <v>3</v>
      </c>
      <c r="H664" s="6" t="s">
        <v>37</v>
      </c>
      <c r="I664" s="6" t="s">
        <v>23</v>
      </c>
      <c r="J664" s="6" t="s">
        <v>23</v>
      </c>
      <c r="K664" s="6" t="s">
        <v>28</v>
      </c>
      <c r="L664" s="6"/>
      <c r="M664" s="6" t="str">
        <f t="shared" si="10"/>
        <v>50L-80L</v>
      </c>
    </row>
    <row r="665" spans="1:13" x14ac:dyDescent="0.25">
      <c r="A665" s="6" t="s">
        <v>705</v>
      </c>
      <c r="B665" s="7">
        <v>46172.987986111111</v>
      </c>
      <c r="C665" s="6" t="s">
        <v>26</v>
      </c>
      <c r="D665" s="6" t="s">
        <v>1060</v>
      </c>
      <c r="E665" s="6" t="s">
        <v>22</v>
      </c>
      <c r="F665" s="10">
        <v>10640322</v>
      </c>
      <c r="G665" s="6">
        <v>1</v>
      </c>
      <c r="H665" s="6" t="s">
        <v>16</v>
      </c>
      <c r="I665" s="6" t="s">
        <v>17</v>
      </c>
      <c r="J665" s="6" t="s">
        <v>17</v>
      </c>
      <c r="K665" s="6" t="s">
        <v>18</v>
      </c>
      <c r="L665" s="6">
        <v>10100000</v>
      </c>
      <c r="M665" s="6" t="str">
        <f t="shared" si="10"/>
        <v>80L-1.2Cr</v>
      </c>
    </row>
    <row r="666" spans="1:13" x14ac:dyDescent="0.25">
      <c r="A666" s="6" t="s">
        <v>706</v>
      </c>
      <c r="B666" s="7">
        <v>46173.214212962965</v>
      </c>
      <c r="C666" s="6" t="s">
        <v>13</v>
      </c>
      <c r="D666" s="6" t="s">
        <v>1061</v>
      </c>
      <c r="E666" s="6" t="s">
        <v>22</v>
      </c>
      <c r="F666" s="10">
        <v>7683032</v>
      </c>
      <c r="G666" s="6">
        <v>3</v>
      </c>
      <c r="H666" s="6" t="s">
        <v>16</v>
      </c>
      <c r="I666" s="6" t="s">
        <v>17</v>
      </c>
      <c r="J666" s="6" t="s">
        <v>17</v>
      </c>
      <c r="K666" s="6" t="s">
        <v>18</v>
      </c>
      <c r="L666" s="6">
        <v>8050000</v>
      </c>
      <c r="M666" s="6" t="str">
        <f t="shared" si="10"/>
        <v>50L-80L</v>
      </c>
    </row>
    <row r="667" spans="1:13" x14ac:dyDescent="0.25">
      <c r="A667" s="6" t="s">
        <v>707</v>
      </c>
      <c r="B667" s="7">
        <v>46173.440439814818</v>
      </c>
      <c r="C667" s="6" t="s">
        <v>13</v>
      </c>
      <c r="D667" s="6" t="s">
        <v>1063</v>
      </c>
      <c r="E667" s="6" t="s">
        <v>15</v>
      </c>
      <c r="F667" s="10">
        <v>8260329</v>
      </c>
      <c r="G667" s="6">
        <v>3</v>
      </c>
      <c r="H667" s="6" t="s">
        <v>16</v>
      </c>
      <c r="I667" s="6" t="s">
        <v>17</v>
      </c>
      <c r="J667" s="6" t="s">
        <v>17</v>
      </c>
      <c r="K667" s="6" t="s">
        <v>18</v>
      </c>
      <c r="L667" s="6">
        <v>8150000</v>
      </c>
      <c r="M667" s="6" t="str">
        <f t="shared" si="10"/>
        <v>80L-1.2Cr</v>
      </c>
    </row>
    <row r="668" spans="1:13" x14ac:dyDescent="0.25">
      <c r="A668" s="6" t="s">
        <v>708</v>
      </c>
      <c r="B668" s="7">
        <v>46173.666666666664</v>
      </c>
      <c r="C668" s="6" t="s">
        <v>26</v>
      </c>
      <c r="D668" s="6" t="s">
        <v>1059</v>
      </c>
      <c r="E668" s="6" t="s">
        <v>15</v>
      </c>
      <c r="F668" s="10">
        <v>4545257</v>
      </c>
      <c r="G668" s="6">
        <v>4</v>
      </c>
      <c r="H668" s="6" t="s">
        <v>16</v>
      </c>
      <c r="I668" s="6" t="s">
        <v>17</v>
      </c>
      <c r="J668" s="6" t="s">
        <v>17</v>
      </c>
      <c r="K668" s="6" t="s">
        <v>24</v>
      </c>
      <c r="L668" s="6"/>
      <c r="M668" s="6" t="str">
        <f t="shared" si="10"/>
        <v>30L-50L</v>
      </c>
    </row>
    <row r="669" spans="1:13" x14ac:dyDescent="0.25">
      <c r="A669" s="6" t="s">
        <v>709</v>
      </c>
      <c r="B669" s="7">
        <v>46173.892893518518</v>
      </c>
      <c r="C669" s="6" t="s">
        <v>13</v>
      </c>
      <c r="D669" s="6" t="s">
        <v>1061</v>
      </c>
      <c r="E669" s="6" t="s">
        <v>22</v>
      </c>
      <c r="F669" s="10">
        <v>9002265</v>
      </c>
      <c r="G669" s="6">
        <v>6</v>
      </c>
      <c r="H669" s="6" t="s">
        <v>16</v>
      </c>
      <c r="I669" s="6" t="s">
        <v>17</v>
      </c>
      <c r="J669" s="6" t="s">
        <v>23</v>
      </c>
      <c r="K669" s="6" t="s">
        <v>18</v>
      </c>
      <c r="L669" s="6">
        <v>9200000</v>
      </c>
      <c r="M669" s="6" t="str">
        <f t="shared" si="10"/>
        <v>80L-1.2Cr</v>
      </c>
    </row>
    <row r="670" spans="1:13" x14ac:dyDescent="0.25">
      <c r="A670" s="6" t="s">
        <v>710</v>
      </c>
      <c r="B670" s="7">
        <v>46174.119120370371</v>
      </c>
      <c r="C670" s="6" t="s">
        <v>13</v>
      </c>
      <c r="D670" s="6" t="s">
        <v>1059</v>
      </c>
      <c r="E670" s="6" t="s">
        <v>22</v>
      </c>
      <c r="F670" s="10">
        <v>8183955</v>
      </c>
      <c r="G670" s="6">
        <v>2</v>
      </c>
      <c r="H670" s="6" t="s">
        <v>16</v>
      </c>
      <c r="I670" s="6" t="s">
        <v>23</v>
      </c>
      <c r="J670" s="6" t="s">
        <v>23</v>
      </c>
      <c r="K670" s="6" t="s">
        <v>18</v>
      </c>
      <c r="L670" s="6">
        <v>7550000</v>
      </c>
      <c r="M670" s="6" t="str">
        <f t="shared" si="10"/>
        <v>80L-1.2Cr</v>
      </c>
    </row>
    <row r="671" spans="1:13" x14ac:dyDescent="0.25">
      <c r="A671" s="6" t="s">
        <v>711</v>
      </c>
      <c r="B671" s="7">
        <v>46174.345347222225</v>
      </c>
      <c r="C671" s="6" t="s">
        <v>26</v>
      </c>
      <c r="D671" s="6" t="s">
        <v>1063</v>
      </c>
      <c r="E671" s="6" t="s">
        <v>15</v>
      </c>
      <c r="F671" s="10">
        <v>4979810</v>
      </c>
      <c r="G671" s="6">
        <v>3</v>
      </c>
      <c r="H671" s="6" t="s">
        <v>16</v>
      </c>
      <c r="I671" s="6" t="s">
        <v>17</v>
      </c>
      <c r="J671" s="6" t="s">
        <v>23</v>
      </c>
      <c r="K671" s="6" t="s">
        <v>18</v>
      </c>
      <c r="L671" s="6">
        <v>5150000</v>
      </c>
      <c r="M671" s="6" t="str">
        <f t="shared" si="10"/>
        <v>30L-50L</v>
      </c>
    </row>
    <row r="672" spans="1:13" x14ac:dyDescent="0.25">
      <c r="A672" s="6" t="s">
        <v>712</v>
      </c>
      <c r="B672" s="7">
        <v>46174.571574074071</v>
      </c>
      <c r="C672" s="6" t="s">
        <v>13</v>
      </c>
      <c r="D672" s="6" t="s">
        <v>21</v>
      </c>
      <c r="E672" s="6" t="s">
        <v>22</v>
      </c>
      <c r="F672" s="10">
        <v>7261179</v>
      </c>
      <c r="G672" s="6">
        <v>5</v>
      </c>
      <c r="H672" s="6" t="s">
        <v>16</v>
      </c>
      <c r="I672" s="6" t="s">
        <v>17</v>
      </c>
      <c r="J672" s="6" t="s">
        <v>17</v>
      </c>
      <c r="K672" s="6" t="s">
        <v>24</v>
      </c>
      <c r="L672" s="6"/>
      <c r="M672" s="6" t="str">
        <f t="shared" si="10"/>
        <v>50L-80L</v>
      </c>
    </row>
    <row r="673" spans="1:13" x14ac:dyDescent="0.25">
      <c r="A673" s="6" t="s">
        <v>713</v>
      </c>
      <c r="B673" s="7">
        <v>46174.797800925924</v>
      </c>
      <c r="C673" s="6" t="s">
        <v>36</v>
      </c>
      <c r="D673" s="6" t="s">
        <v>1061</v>
      </c>
      <c r="E673" s="6" t="s">
        <v>15</v>
      </c>
      <c r="F673" s="10">
        <v>6267414</v>
      </c>
      <c r="G673" s="6">
        <v>4</v>
      </c>
      <c r="H673" s="6" t="s">
        <v>37</v>
      </c>
      <c r="I673" s="6" t="s">
        <v>23</v>
      </c>
      <c r="J673" s="6" t="s">
        <v>23</v>
      </c>
      <c r="K673" s="6" t="s">
        <v>28</v>
      </c>
      <c r="L673" s="6"/>
      <c r="M673" s="6" t="str">
        <f t="shared" si="10"/>
        <v>50L-80L</v>
      </c>
    </row>
    <row r="674" spans="1:13" x14ac:dyDescent="0.25">
      <c r="A674" s="6" t="s">
        <v>714</v>
      </c>
      <c r="B674" s="7">
        <v>46175.024027777778</v>
      </c>
      <c r="C674" s="6" t="s">
        <v>13</v>
      </c>
      <c r="D674" s="6" t="s">
        <v>1061</v>
      </c>
      <c r="E674" s="6" t="s">
        <v>22</v>
      </c>
      <c r="F674" s="10">
        <v>7971277</v>
      </c>
      <c r="G674" s="6">
        <v>2</v>
      </c>
      <c r="H674" s="6" t="s">
        <v>37</v>
      </c>
      <c r="I674" s="6" t="s">
        <v>23</v>
      </c>
      <c r="J674" s="6" t="s">
        <v>23</v>
      </c>
      <c r="K674" s="6" t="s">
        <v>28</v>
      </c>
      <c r="L674" s="6"/>
      <c r="M674" s="6" t="str">
        <f t="shared" si="10"/>
        <v>50L-80L</v>
      </c>
    </row>
    <row r="675" spans="1:13" x14ac:dyDescent="0.25">
      <c r="A675" s="6" t="s">
        <v>715</v>
      </c>
      <c r="B675" s="7">
        <v>46175.250254629631</v>
      </c>
      <c r="C675" s="6" t="s">
        <v>20</v>
      </c>
      <c r="D675" s="6" t="s">
        <v>1063</v>
      </c>
      <c r="E675" s="6" t="s">
        <v>15</v>
      </c>
      <c r="F675" s="10">
        <v>4352206</v>
      </c>
      <c r="G675" s="6">
        <v>5</v>
      </c>
      <c r="H675" s="6" t="s">
        <v>16</v>
      </c>
      <c r="I675" s="6" t="s">
        <v>23</v>
      </c>
      <c r="J675" s="6" t="s">
        <v>23</v>
      </c>
      <c r="K675" s="6" t="s">
        <v>28</v>
      </c>
      <c r="L675" s="6"/>
      <c r="M675" s="6" t="str">
        <f t="shared" si="10"/>
        <v>30L-50L</v>
      </c>
    </row>
    <row r="676" spans="1:13" x14ac:dyDescent="0.25">
      <c r="A676" s="6" t="s">
        <v>716</v>
      </c>
      <c r="B676" s="7">
        <v>46175.476481481484</v>
      </c>
      <c r="C676" s="6" t="s">
        <v>20</v>
      </c>
      <c r="D676" s="6" t="s">
        <v>1063</v>
      </c>
      <c r="E676" s="6" t="s">
        <v>27</v>
      </c>
      <c r="F676" s="10">
        <v>6902717</v>
      </c>
      <c r="G676" s="6">
        <v>1</v>
      </c>
      <c r="H676" s="6" t="s">
        <v>37</v>
      </c>
      <c r="I676" s="6" t="s">
        <v>23</v>
      </c>
      <c r="J676" s="6" t="s">
        <v>23</v>
      </c>
      <c r="K676" s="6" t="s">
        <v>28</v>
      </c>
      <c r="L676" s="6"/>
      <c r="M676" s="6" t="str">
        <f t="shared" si="10"/>
        <v>50L-80L</v>
      </c>
    </row>
    <row r="677" spans="1:13" x14ac:dyDescent="0.25">
      <c r="A677" s="6" t="s">
        <v>717</v>
      </c>
      <c r="B677" s="7">
        <v>46175.702708333331</v>
      </c>
      <c r="C677" s="6" t="s">
        <v>33</v>
      </c>
      <c r="D677" s="6" t="s">
        <v>21</v>
      </c>
      <c r="E677" s="6" t="s">
        <v>15</v>
      </c>
      <c r="F677" s="10">
        <v>3249737</v>
      </c>
      <c r="G677" s="6">
        <v>5</v>
      </c>
      <c r="H677" s="6" t="s">
        <v>16</v>
      </c>
      <c r="I677" s="6" t="s">
        <v>17</v>
      </c>
      <c r="J677" s="6" t="s">
        <v>23</v>
      </c>
      <c r="K677" s="6" t="s">
        <v>24</v>
      </c>
      <c r="L677" s="6"/>
      <c r="M677" s="6" t="str">
        <f t="shared" si="10"/>
        <v>30L-50L</v>
      </c>
    </row>
    <row r="678" spans="1:13" x14ac:dyDescent="0.25">
      <c r="A678" s="6" t="s">
        <v>718</v>
      </c>
      <c r="B678" s="7">
        <v>46175.928923611114</v>
      </c>
      <c r="C678" s="6" t="s">
        <v>13</v>
      </c>
      <c r="D678" s="6" t="s">
        <v>1059</v>
      </c>
      <c r="E678" s="6" t="s">
        <v>15</v>
      </c>
      <c r="F678" s="10">
        <v>6496645</v>
      </c>
      <c r="G678" s="6">
        <v>1</v>
      </c>
      <c r="H678" s="6" t="s">
        <v>16</v>
      </c>
      <c r="I678" s="6" t="s">
        <v>17</v>
      </c>
      <c r="J678" s="6" t="s">
        <v>23</v>
      </c>
      <c r="K678" s="6" t="s">
        <v>24</v>
      </c>
      <c r="L678" s="6"/>
      <c r="M678" s="6" t="str">
        <f t="shared" si="10"/>
        <v>50L-80L</v>
      </c>
    </row>
    <row r="679" spans="1:13" x14ac:dyDescent="0.25">
      <c r="A679" s="6" t="s">
        <v>719</v>
      </c>
      <c r="B679" s="7">
        <v>46176.155150462961</v>
      </c>
      <c r="C679" s="6" t="s">
        <v>26</v>
      </c>
      <c r="D679" s="6" t="s">
        <v>21</v>
      </c>
      <c r="E679" s="6" t="s">
        <v>15</v>
      </c>
      <c r="F679" s="10">
        <v>5093806</v>
      </c>
      <c r="G679" s="6">
        <v>3</v>
      </c>
      <c r="H679" s="6" t="s">
        <v>16</v>
      </c>
      <c r="I679" s="6" t="s">
        <v>23</v>
      </c>
      <c r="J679" s="6" t="s">
        <v>23</v>
      </c>
      <c r="K679" s="6" t="s">
        <v>28</v>
      </c>
      <c r="L679" s="6"/>
      <c r="M679" s="6" t="str">
        <f t="shared" si="10"/>
        <v>50L-80L</v>
      </c>
    </row>
    <row r="680" spans="1:13" x14ac:dyDescent="0.25">
      <c r="A680" s="6" t="s">
        <v>720</v>
      </c>
      <c r="B680" s="7">
        <v>46176.381377314814</v>
      </c>
      <c r="C680" s="6" t="s">
        <v>33</v>
      </c>
      <c r="D680" s="6" t="s">
        <v>1059</v>
      </c>
      <c r="E680" s="6" t="s">
        <v>15</v>
      </c>
      <c r="F680" s="10">
        <v>5428058</v>
      </c>
      <c r="G680" s="6">
        <v>5</v>
      </c>
      <c r="H680" s="6" t="s">
        <v>16</v>
      </c>
      <c r="I680" s="6" t="s">
        <v>17</v>
      </c>
      <c r="J680" s="6" t="s">
        <v>23</v>
      </c>
      <c r="K680" s="6" t="s">
        <v>24</v>
      </c>
      <c r="L680" s="6"/>
      <c r="M680" s="6" t="str">
        <f t="shared" si="10"/>
        <v>50L-80L</v>
      </c>
    </row>
    <row r="681" spans="1:13" x14ac:dyDescent="0.25">
      <c r="A681" s="6" t="s">
        <v>721</v>
      </c>
      <c r="B681" s="7">
        <v>46176.607604166667</v>
      </c>
      <c r="C681" s="6" t="s">
        <v>36</v>
      </c>
      <c r="D681" s="6" t="s">
        <v>1062</v>
      </c>
      <c r="E681" s="6" t="s">
        <v>15</v>
      </c>
      <c r="F681" s="10">
        <v>3923639</v>
      </c>
      <c r="G681" s="6">
        <v>2</v>
      </c>
      <c r="H681" s="6" t="s">
        <v>16</v>
      </c>
      <c r="I681" s="6" t="s">
        <v>17</v>
      </c>
      <c r="J681" s="6" t="s">
        <v>23</v>
      </c>
      <c r="K681" s="6" t="s">
        <v>18</v>
      </c>
      <c r="L681" s="6">
        <v>3750000</v>
      </c>
      <c r="M681" s="6" t="str">
        <f t="shared" si="10"/>
        <v>30L-50L</v>
      </c>
    </row>
    <row r="682" spans="1:13" x14ac:dyDescent="0.25">
      <c r="A682" s="6" t="s">
        <v>722</v>
      </c>
      <c r="B682" s="7">
        <v>46176.833831018521</v>
      </c>
      <c r="C682" s="6" t="s">
        <v>36</v>
      </c>
      <c r="D682" s="6" t="s">
        <v>21</v>
      </c>
      <c r="E682" s="6" t="s">
        <v>15</v>
      </c>
      <c r="F682" s="10">
        <v>7542093</v>
      </c>
      <c r="G682" s="6">
        <v>2</v>
      </c>
      <c r="H682" s="6" t="s">
        <v>16</v>
      </c>
      <c r="I682" s="6" t="s">
        <v>17</v>
      </c>
      <c r="J682" s="6" t="s">
        <v>17</v>
      </c>
      <c r="K682" s="6" t="s">
        <v>24</v>
      </c>
      <c r="L682" s="6"/>
      <c r="M682" s="6" t="str">
        <f t="shared" si="10"/>
        <v>50L-80L</v>
      </c>
    </row>
    <row r="683" spans="1:13" x14ac:dyDescent="0.25">
      <c r="A683" s="6" t="s">
        <v>723</v>
      </c>
      <c r="B683" s="7">
        <v>46177.060057870367</v>
      </c>
      <c r="C683" s="6" t="s">
        <v>26</v>
      </c>
      <c r="D683" s="6" t="s">
        <v>1061</v>
      </c>
      <c r="E683" s="6" t="s">
        <v>27</v>
      </c>
      <c r="F683" s="10">
        <v>1842221</v>
      </c>
      <c r="G683" s="6">
        <v>2</v>
      </c>
      <c r="H683" s="6" t="s">
        <v>16</v>
      </c>
      <c r="I683" s="6" t="s">
        <v>23</v>
      </c>
      <c r="J683" s="6" t="s">
        <v>23</v>
      </c>
      <c r="K683" s="6" t="s">
        <v>28</v>
      </c>
      <c r="L683" s="6"/>
      <c r="M683" s="6" t="str">
        <f t="shared" si="10"/>
        <v>Below 30L</v>
      </c>
    </row>
    <row r="684" spans="1:13" x14ac:dyDescent="0.25">
      <c r="A684" s="6" t="s">
        <v>724</v>
      </c>
      <c r="B684" s="7">
        <v>46177.28628472222</v>
      </c>
      <c r="C684" s="6" t="s">
        <v>13</v>
      </c>
      <c r="D684" s="6" t="s">
        <v>1062</v>
      </c>
      <c r="E684" s="6" t="s">
        <v>15</v>
      </c>
      <c r="F684" s="10">
        <v>5679581</v>
      </c>
      <c r="G684" s="6">
        <v>6</v>
      </c>
      <c r="H684" s="6" t="s">
        <v>16</v>
      </c>
      <c r="I684" s="6" t="s">
        <v>17</v>
      </c>
      <c r="J684" s="6" t="s">
        <v>23</v>
      </c>
      <c r="K684" s="6" t="s">
        <v>24</v>
      </c>
      <c r="L684" s="6"/>
      <c r="M684" s="6" t="str">
        <f t="shared" si="10"/>
        <v>50L-80L</v>
      </c>
    </row>
    <row r="685" spans="1:13" x14ac:dyDescent="0.25">
      <c r="A685" s="6" t="s">
        <v>725</v>
      </c>
      <c r="B685" s="7">
        <v>46177.512511574074</v>
      </c>
      <c r="C685" s="6" t="s">
        <v>30</v>
      </c>
      <c r="D685" s="6" t="s">
        <v>1063</v>
      </c>
      <c r="E685" s="6" t="s">
        <v>15</v>
      </c>
      <c r="F685" s="10">
        <v>7354745</v>
      </c>
      <c r="G685" s="6">
        <v>4</v>
      </c>
      <c r="H685" s="6" t="s">
        <v>16</v>
      </c>
      <c r="I685" s="6" t="s">
        <v>17</v>
      </c>
      <c r="J685" s="6" t="s">
        <v>17</v>
      </c>
      <c r="K685" s="6" t="s">
        <v>18</v>
      </c>
      <c r="L685" s="6">
        <v>7400000</v>
      </c>
      <c r="M685" s="6" t="str">
        <f t="shared" si="10"/>
        <v>50L-80L</v>
      </c>
    </row>
    <row r="686" spans="1:13" x14ac:dyDescent="0.25">
      <c r="A686" s="6" t="s">
        <v>726</v>
      </c>
      <c r="B686" s="7">
        <v>46177.738738425927</v>
      </c>
      <c r="C686" s="6" t="s">
        <v>33</v>
      </c>
      <c r="D686" s="6" t="s">
        <v>1059</v>
      </c>
      <c r="E686" s="6" t="s">
        <v>15</v>
      </c>
      <c r="F686" s="10">
        <v>3551852</v>
      </c>
      <c r="G686" s="6">
        <v>4</v>
      </c>
      <c r="H686" s="6" t="s">
        <v>16</v>
      </c>
      <c r="I686" s="6" t="s">
        <v>17</v>
      </c>
      <c r="J686" s="6" t="s">
        <v>23</v>
      </c>
      <c r="K686" s="6" t="s">
        <v>24</v>
      </c>
      <c r="L686" s="6"/>
      <c r="M686" s="6" t="str">
        <f t="shared" si="10"/>
        <v>30L-50L</v>
      </c>
    </row>
    <row r="687" spans="1:13" x14ac:dyDescent="0.25">
      <c r="A687" s="6" t="s">
        <v>727</v>
      </c>
      <c r="B687" s="7">
        <v>46177.964965277781</v>
      </c>
      <c r="C687" s="6" t="s">
        <v>20</v>
      </c>
      <c r="D687" s="6" t="s">
        <v>1061</v>
      </c>
      <c r="E687" s="6" t="s">
        <v>15</v>
      </c>
      <c r="F687" s="10">
        <v>5031986</v>
      </c>
      <c r="G687" s="6">
        <v>3</v>
      </c>
      <c r="H687" s="6" t="s">
        <v>16</v>
      </c>
      <c r="I687" s="6" t="s">
        <v>17</v>
      </c>
      <c r="J687" s="6" t="s">
        <v>17</v>
      </c>
      <c r="K687" s="6" t="s">
        <v>24</v>
      </c>
      <c r="L687" s="6"/>
      <c r="M687" s="6" t="str">
        <f t="shared" si="10"/>
        <v>50L-80L</v>
      </c>
    </row>
    <row r="688" spans="1:13" x14ac:dyDescent="0.25">
      <c r="A688" s="6" t="s">
        <v>728</v>
      </c>
      <c r="B688" s="7">
        <v>46178.191192129627</v>
      </c>
      <c r="C688" s="6" t="s">
        <v>20</v>
      </c>
      <c r="D688" s="6" t="s">
        <v>1061</v>
      </c>
      <c r="E688" s="6" t="s">
        <v>15</v>
      </c>
      <c r="F688" s="10">
        <v>5434551</v>
      </c>
      <c r="G688" s="6">
        <v>4</v>
      </c>
      <c r="H688" s="6" t="s">
        <v>16</v>
      </c>
      <c r="I688" s="6" t="s">
        <v>23</v>
      </c>
      <c r="J688" s="6" t="s">
        <v>17</v>
      </c>
      <c r="K688" s="6" t="s">
        <v>28</v>
      </c>
      <c r="L688" s="6"/>
      <c r="M688" s="6" t="str">
        <f t="shared" si="10"/>
        <v>50L-80L</v>
      </c>
    </row>
    <row r="689" spans="1:13" x14ac:dyDescent="0.25">
      <c r="A689" s="6" t="s">
        <v>729</v>
      </c>
      <c r="B689" s="7">
        <v>46178.41741898148</v>
      </c>
      <c r="C689" s="6" t="s">
        <v>26</v>
      </c>
      <c r="D689" s="6" t="s">
        <v>1060</v>
      </c>
      <c r="E689" s="6" t="s">
        <v>15</v>
      </c>
      <c r="F689" s="10">
        <v>3533903</v>
      </c>
      <c r="G689" s="6">
        <v>2</v>
      </c>
      <c r="H689" s="6" t="s">
        <v>16</v>
      </c>
      <c r="I689" s="6" t="s">
        <v>23</v>
      </c>
      <c r="J689" s="6" t="s">
        <v>23</v>
      </c>
      <c r="K689" s="6" t="s">
        <v>28</v>
      </c>
      <c r="L689" s="6"/>
      <c r="M689" s="6" t="str">
        <f t="shared" si="10"/>
        <v>30L-50L</v>
      </c>
    </row>
    <row r="690" spans="1:13" x14ac:dyDescent="0.25">
      <c r="A690" s="6" t="s">
        <v>730</v>
      </c>
      <c r="B690" s="7">
        <v>46178.643645833334</v>
      </c>
      <c r="C690" s="6" t="s">
        <v>36</v>
      </c>
      <c r="D690" s="6" t="s">
        <v>1062</v>
      </c>
      <c r="E690" s="6" t="s">
        <v>15</v>
      </c>
      <c r="F690" s="10">
        <v>3916931</v>
      </c>
      <c r="G690" s="6">
        <v>2</v>
      </c>
      <c r="H690" s="6" t="s">
        <v>16</v>
      </c>
      <c r="I690" s="6" t="s">
        <v>17</v>
      </c>
      <c r="J690" s="6" t="s">
        <v>23</v>
      </c>
      <c r="K690" s="6" t="s">
        <v>24</v>
      </c>
      <c r="L690" s="6"/>
      <c r="M690" s="6" t="str">
        <f t="shared" si="10"/>
        <v>30L-50L</v>
      </c>
    </row>
    <row r="691" spans="1:13" x14ac:dyDescent="0.25">
      <c r="A691" s="6" t="s">
        <v>731</v>
      </c>
      <c r="B691" s="7">
        <v>46178.869872685187</v>
      </c>
      <c r="C691" s="6" t="s">
        <v>13</v>
      </c>
      <c r="D691" s="6" t="s">
        <v>1063</v>
      </c>
      <c r="E691" s="6" t="s">
        <v>15</v>
      </c>
      <c r="F691" s="10">
        <v>4431282</v>
      </c>
      <c r="G691" s="6">
        <v>4</v>
      </c>
      <c r="H691" s="6" t="s">
        <v>16</v>
      </c>
      <c r="I691" s="6" t="s">
        <v>17</v>
      </c>
      <c r="J691" s="6" t="s">
        <v>17</v>
      </c>
      <c r="K691" s="6" t="s">
        <v>18</v>
      </c>
      <c r="L691" s="6">
        <v>4550000</v>
      </c>
      <c r="M691" s="6" t="str">
        <f t="shared" si="10"/>
        <v>30L-50L</v>
      </c>
    </row>
    <row r="692" spans="1:13" x14ac:dyDescent="0.25">
      <c r="A692" s="6" t="s">
        <v>732</v>
      </c>
      <c r="B692" s="7">
        <v>46179.096099537041</v>
      </c>
      <c r="C692" s="6" t="s">
        <v>26</v>
      </c>
      <c r="D692" s="6" t="s">
        <v>1059</v>
      </c>
      <c r="E692" s="6" t="s">
        <v>15</v>
      </c>
      <c r="F692" s="10">
        <v>5059071</v>
      </c>
      <c r="G692" s="6">
        <v>2</v>
      </c>
      <c r="H692" s="6" t="s">
        <v>37</v>
      </c>
      <c r="I692" s="6" t="s">
        <v>23</v>
      </c>
      <c r="J692" s="6" t="s">
        <v>23</v>
      </c>
      <c r="K692" s="6" t="s">
        <v>28</v>
      </c>
      <c r="L692" s="6"/>
      <c r="M692" s="6" t="str">
        <f t="shared" si="10"/>
        <v>50L-80L</v>
      </c>
    </row>
    <row r="693" spans="1:13" x14ac:dyDescent="0.25">
      <c r="A693" s="6" t="s">
        <v>733</v>
      </c>
      <c r="B693" s="7">
        <v>46179.322326388887</v>
      </c>
      <c r="C693" s="6" t="s">
        <v>20</v>
      </c>
      <c r="D693" s="6" t="s">
        <v>1060</v>
      </c>
      <c r="E693" s="6" t="s">
        <v>22</v>
      </c>
      <c r="F693" s="10">
        <v>6240011</v>
      </c>
      <c r="G693" s="6">
        <v>1</v>
      </c>
      <c r="H693" s="6" t="s">
        <v>16</v>
      </c>
      <c r="I693" s="6" t="s">
        <v>17</v>
      </c>
      <c r="J693" s="6" t="s">
        <v>17</v>
      </c>
      <c r="K693" s="6" t="s">
        <v>18</v>
      </c>
      <c r="L693" s="6">
        <v>5850000</v>
      </c>
      <c r="M693" s="6" t="str">
        <f t="shared" si="10"/>
        <v>50L-80L</v>
      </c>
    </row>
    <row r="694" spans="1:13" x14ac:dyDescent="0.25">
      <c r="A694" s="6" t="s">
        <v>734</v>
      </c>
      <c r="B694" s="7">
        <v>46179.54855324074</v>
      </c>
      <c r="C694" s="6" t="s">
        <v>20</v>
      </c>
      <c r="D694" s="6" t="s">
        <v>21</v>
      </c>
      <c r="E694" s="6" t="s">
        <v>15</v>
      </c>
      <c r="F694" s="10">
        <v>3072684</v>
      </c>
      <c r="G694" s="6">
        <v>1</v>
      </c>
      <c r="H694" s="6" t="s">
        <v>37</v>
      </c>
      <c r="I694" s="6" t="s">
        <v>17</v>
      </c>
      <c r="J694" s="6" t="s">
        <v>23</v>
      </c>
      <c r="K694" s="6" t="s">
        <v>24</v>
      </c>
      <c r="L694" s="6"/>
      <c r="M694" s="6" t="str">
        <f t="shared" si="10"/>
        <v>30L-50L</v>
      </c>
    </row>
    <row r="695" spans="1:13" x14ac:dyDescent="0.25">
      <c r="A695" s="6" t="s">
        <v>735</v>
      </c>
      <c r="B695" s="7">
        <v>46179.774780092594</v>
      </c>
      <c r="C695" s="6" t="s">
        <v>26</v>
      </c>
      <c r="D695" s="6" t="s">
        <v>1059</v>
      </c>
      <c r="E695" s="6" t="s">
        <v>15</v>
      </c>
      <c r="F695" s="10">
        <v>6288221</v>
      </c>
      <c r="G695" s="6">
        <v>1</v>
      </c>
      <c r="H695" s="6" t="s">
        <v>16</v>
      </c>
      <c r="I695" s="6" t="s">
        <v>17</v>
      </c>
      <c r="J695" s="6" t="s">
        <v>23</v>
      </c>
      <c r="K695" s="6" t="s">
        <v>24</v>
      </c>
      <c r="L695" s="6"/>
      <c r="M695" s="6" t="str">
        <f t="shared" si="10"/>
        <v>50L-80L</v>
      </c>
    </row>
    <row r="696" spans="1:13" x14ac:dyDescent="0.25">
      <c r="A696" s="6" t="s">
        <v>736</v>
      </c>
      <c r="B696" s="7">
        <v>46180.00099537037</v>
      </c>
      <c r="C696" s="6" t="s">
        <v>13</v>
      </c>
      <c r="D696" s="6" t="s">
        <v>21</v>
      </c>
      <c r="E696" s="6" t="s">
        <v>27</v>
      </c>
      <c r="F696" s="10">
        <v>2783871</v>
      </c>
      <c r="G696" s="6">
        <v>5</v>
      </c>
      <c r="H696" s="6" t="s">
        <v>16</v>
      </c>
      <c r="I696" s="6" t="s">
        <v>17</v>
      </c>
      <c r="J696" s="6" t="s">
        <v>23</v>
      </c>
      <c r="K696" s="6" t="s">
        <v>24</v>
      </c>
      <c r="L696" s="6"/>
      <c r="M696" s="6" t="str">
        <f t="shared" si="10"/>
        <v>Below 30L</v>
      </c>
    </row>
    <row r="697" spans="1:13" x14ac:dyDescent="0.25">
      <c r="A697" s="6" t="s">
        <v>737</v>
      </c>
      <c r="B697" s="7">
        <v>46180.227222222224</v>
      </c>
      <c r="C697" s="6" t="s">
        <v>30</v>
      </c>
      <c r="D697" s="6" t="s">
        <v>1059</v>
      </c>
      <c r="E697" s="6" t="s">
        <v>15</v>
      </c>
      <c r="F697" s="10">
        <v>6330289</v>
      </c>
      <c r="G697" s="6">
        <v>2</v>
      </c>
      <c r="H697" s="6" t="s">
        <v>16</v>
      </c>
      <c r="I697" s="6" t="s">
        <v>17</v>
      </c>
      <c r="J697" s="6" t="s">
        <v>17</v>
      </c>
      <c r="K697" s="6" t="s">
        <v>18</v>
      </c>
      <c r="L697" s="6">
        <v>6200000</v>
      </c>
      <c r="M697" s="6" t="str">
        <f t="shared" si="10"/>
        <v>50L-80L</v>
      </c>
    </row>
    <row r="698" spans="1:13" x14ac:dyDescent="0.25">
      <c r="A698" s="6" t="s">
        <v>738</v>
      </c>
      <c r="B698" s="7">
        <v>46180.453449074077</v>
      </c>
      <c r="C698" s="6" t="s">
        <v>26</v>
      </c>
      <c r="D698" s="6" t="s">
        <v>1059</v>
      </c>
      <c r="E698" s="6" t="s">
        <v>22</v>
      </c>
      <c r="F698" s="10">
        <v>10341647</v>
      </c>
      <c r="G698" s="6">
        <v>4</v>
      </c>
      <c r="H698" s="6" t="s">
        <v>16</v>
      </c>
      <c r="I698" s="6" t="s">
        <v>23</v>
      </c>
      <c r="J698" s="6" t="s">
        <v>23</v>
      </c>
      <c r="K698" s="6" t="s">
        <v>28</v>
      </c>
      <c r="L698" s="6"/>
      <c r="M698" s="6" t="str">
        <f t="shared" si="10"/>
        <v>80L-1.2Cr</v>
      </c>
    </row>
    <row r="699" spans="1:13" x14ac:dyDescent="0.25">
      <c r="A699" s="6" t="s">
        <v>739</v>
      </c>
      <c r="B699" s="7">
        <v>46180.679675925923</v>
      </c>
      <c r="C699" s="6" t="s">
        <v>30</v>
      </c>
      <c r="D699" s="6" t="s">
        <v>1059</v>
      </c>
      <c r="E699" s="6" t="s">
        <v>15</v>
      </c>
      <c r="F699" s="10">
        <v>6179109</v>
      </c>
      <c r="G699" s="6">
        <v>2</v>
      </c>
      <c r="H699" s="6" t="s">
        <v>16</v>
      </c>
      <c r="I699" s="6" t="s">
        <v>23</v>
      </c>
      <c r="J699" s="6" t="s">
        <v>23</v>
      </c>
      <c r="K699" s="6" t="s">
        <v>28</v>
      </c>
      <c r="L699" s="6"/>
      <c r="M699" s="6" t="str">
        <f t="shared" si="10"/>
        <v>50L-80L</v>
      </c>
    </row>
    <row r="700" spans="1:13" x14ac:dyDescent="0.25">
      <c r="A700" s="6" t="s">
        <v>740</v>
      </c>
      <c r="B700" s="7">
        <v>46180.905902777777</v>
      </c>
      <c r="C700" s="6" t="s">
        <v>13</v>
      </c>
      <c r="D700" s="6" t="s">
        <v>1061</v>
      </c>
      <c r="E700" s="6" t="s">
        <v>22</v>
      </c>
      <c r="F700" s="10">
        <v>7596246</v>
      </c>
      <c r="G700" s="6">
        <v>2</v>
      </c>
      <c r="H700" s="6" t="s">
        <v>16</v>
      </c>
      <c r="I700" s="6" t="s">
        <v>23</v>
      </c>
      <c r="J700" s="6" t="s">
        <v>17</v>
      </c>
      <c r="K700" s="6" t="s">
        <v>28</v>
      </c>
      <c r="L700" s="6"/>
      <c r="M700" s="6" t="str">
        <f t="shared" si="10"/>
        <v>50L-80L</v>
      </c>
    </row>
    <row r="701" spans="1:13" x14ac:dyDescent="0.25">
      <c r="A701" s="6" t="s">
        <v>741</v>
      </c>
      <c r="B701" s="7">
        <v>46181.13212962963</v>
      </c>
      <c r="C701" s="6" t="s">
        <v>20</v>
      </c>
      <c r="D701" s="6" t="s">
        <v>1060</v>
      </c>
      <c r="E701" s="6" t="s">
        <v>22</v>
      </c>
      <c r="F701" s="10">
        <v>10750619</v>
      </c>
      <c r="G701" s="6">
        <v>2</v>
      </c>
      <c r="H701" s="6" t="s">
        <v>37</v>
      </c>
      <c r="I701" s="6" t="s">
        <v>17</v>
      </c>
      <c r="J701" s="6" t="s">
        <v>23</v>
      </c>
      <c r="K701" s="6" t="s">
        <v>24</v>
      </c>
      <c r="L701" s="6"/>
      <c r="M701" s="6" t="str">
        <f t="shared" si="10"/>
        <v>80L-1.2Cr</v>
      </c>
    </row>
    <row r="702" spans="1:13" x14ac:dyDescent="0.25">
      <c r="A702" s="6" t="s">
        <v>742</v>
      </c>
      <c r="B702" s="7">
        <v>46181.358356481483</v>
      </c>
      <c r="C702" s="6" t="s">
        <v>20</v>
      </c>
      <c r="D702" s="6" t="s">
        <v>1061</v>
      </c>
      <c r="E702" s="6" t="s">
        <v>15</v>
      </c>
      <c r="F702" s="10">
        <v>3372778</v>
      </c>
      <c r="G702" s="6">
        <v>4</v>
      </c>
      <c r="H702" s="6" t="s">
        <v>37</v>
      </c>
      <c r="I702" s="6" t="s">
        <v>23</v>
      </c>
      <c r="J702" s="6" t="s">
        <v>23</v>
      </c>
      <c r="K702" s="6" t="s">
        <v>28</v>
      </c>
      <c r="L702" s="6"/>
      <c r="M702" s="6" t="str">
        <f t="shared" si="10"/>
        <v>30L-50L</v>
      </c>
    </row>
    <row r="703" spans="1:13" x14ac:dyDescent="0.25">
      <c r="A703" s="6" t="s">
        <v>743</v>
      </c>
      <c r="B703" s="7">
        <v>46181.584583333337</v>
      </c>
      <c r="C703" s="6" t="s">
        <v>13</v>
      </c>
      <c r="D703" s="6" t="s">
        <v>21</v>
      </c>
      <c r="E703" s="6" t="s">
        <v>27</v>
      </c>
      <c r="F703" s="10">
        <v>2457726</v>
      </c>
      <c r="G703" s="6">
        <v>3</v>
      </c>
      <c r="H703" s="6" t="s">
        <v>16</v>
      </c>
      <c r="I703" s="6" t="s">
        <v>17</v>
      </c>
      <c r="J703" s="6" t="s">
        <v>17</v>
      </c>
      <c r="K703" s="6" t="s">
        <v>18</v>
      </c>
      <c r="L703" s="6">
        <v>2400000</v>
      </c>
      <c r="M703" s="6" t="str">
        <f t="shared" si="10"/>
        <v>Below 30L</v>
      </c>
    </row>
    <row r="704" spans="1:13" x14ac:dyDescent="0.25">
      <c r="A704" s="6" t="s">
        <v>744</v>
      </c>
      <c r="B704" s="7">
        <v>46181.810810185183</v>
      </c>
      <c r="C704" s="6" t="s">
        <v>26</v>
      </c>
      <c r="D704" s="6" t="s">
        <v>21</v>
      </c>
      <c r="E704" s="6" t="s">
        <v>15</v>
      </c>
      <c r="F704" s="10">
        <v>3676315</v>
      </c>
      <c r="G704" s="6">
        <v>5</v>
      </c>
      <c r="H704" s="6" t="s">
        <v>16</v>
      </c>
      <c r="I704" s="6" t="s">
        <v>17</v>
      </c>
      <c r="J704" s="6" t="s">
        <v>23</v>
      </c>
      <c r="K704" s="6" t="s">
        <v>24</v>
      </c>
      <c r="L704" s="6"/>
      <c r="M704" s="6" t="str">
        <f t="shared" si="10"/>
        <v>30L-50L</v>
      </c>
    </row>
    <row r="705" spans="1:13" x14ac:dyDescent="0.25">
      <c r="A705" s="6" t="s">
        <v>745</v>
      </c>
      <c r="B705" s="7">
        <v>46182.037037037036</v>
      </c>
      <c r="C705" s="6" t="s">
        <v>13</v>
      </c>
      <c r="D705" s="6" t="s">
        <v>1060</v>
      </c>
      <c r="E705" s="6" t="s">
        <v>15</v>
      </c>
      <c r="F705" s="10">
        <v>3868277</v>
      </c>
      <c r="G705" s="6">
        <v>3</v>
      </c>
      <c r="H705" s="6" t="s">
        <v>16</v>
      </c>
      <c r="I705" s="6" t="s">
        <v>23</v>
      </c>
      <c r="J705" s="6" t="s">
        <v>23</v>
      </c>
      <c r="K705" s="6" t="s">
        <v>28</v>
      </c>
      <c r="L705" s="6"/>
      <c r="M705" s="6" t="str">
        <f t="shared" si="10"/>
        <v>30L-50L</v>
      </c>
    </row>
    <row r="706" spans="1:13" x14ac:dyDescent="0.25">
      <c r="A706" s="6" t="s">
        <v>746</v>
      </c>
      <c r="B706" s="7">
        <v>46182.26326388889</v>
      </c>
      <c r="C706" s="6" t="s">
        <v>13</v>
      </c>
      <c r="D706" s="6" t="s">
        <v>21</v>
      </c>
      <c r="E706" s="6" t="s">
        <v>22</v>
      </c>
      <c r="F706" s="10">
        <v>8425767</v>
      </c>
      <c r="G706" s="6">
        <v>3</v>
      </c>
      <c r="H706" s="6" t="s">
        <v>16</v>
      </c>
      <c r="I706" s="6" t="s">
        <v>17</v>
      </c>
      <c r="J706" s="6" t="s">
        <v>17</v>
      </c>
      <c r="K706" s="6" t="s">
        <v>18</v>
      </c>
      <c r="L706" s="6">
        <v>8100000</v>
      </c>
      <c r="M706" s="6" t="str">
        <f t="shared" ref="M706:M769" si="11">IF(F706&lt;3000000,"Below 30L",IF(F706&lt;5000000,"30L-50L",IF(F706&lt;8000000,"50L-80L",IF(F706&lt;12000000,"80L-1.2Cr","Above 1.2Cr"))))</f>
        <v>80L-1.2Cr</v>
      </c>
    </row>
    <row r="707" spans="1:13" x14ac:dyDescent="0.25">
      <c r="A707" s="6" t="s">
        <v>747</v>
      </c>
      <c r="B707" s="7">
        <v>46182.489490740743</v>
      </c>
      <c r="C707" s="6" t="s">
        <v>33</v>
      </c>
      <c r="D707" s="6" t="s">
        <v>1059</v>
      </c>
      <c r="E707" s="6" t="s">
        <v>27</v>
      </c>
      <c r="F707" s="10">
        <v>6564372</v>
      </c>
      <c r="G707" s="6">
        <v>3</v>
      </c>
      <c r="H707" s="6" t="s">
        <v>16</v>
      </c>
      <c r="I707" s="6" t="s">
        <v>17</v>
      </c>
      <c r="J707" s="6" t="s">
        <v>17</v>
      </c>
      <c r="K707" s="6" t="s">
        <v>24</v>
      </c>
      <c r="L707" s="6"/>
      <c r="M707" s="6" t="str">
        <f t="shared" si="11"/>
        <v>50L-80L</v>
      </c>
    </row>
    <row r="708" spans="1:13" x14ac:dyDescent="0.25">
      <c r="A708" s="6" t="s">
        <v>748</v>
      </c>
      <c r="B708" s="7">
        <v>46182.715717592589</v>
      </c>
      <c r="C708" s="6" t="s">
        <v>26</v>
      </c>
      <c r="D708" s="6" t="s">
        <v>1062</v>
      </c>
      <c r="E708" s="6" t="s">
        <v>15</v>
      </c>
      <c r="F708" s="10">
        <v>5793513</v>
      </c>
      <c r="G708" s="6">
        <v>5</v>
      </c>
      <c r="H708" s="6" t="s">
        <v>16</v>
      </c>
      <c r="I708" s="6" t="s">
        <v>17</v>
      </c>
      <c r="J708" s="6" t="s">
        <v>17</v>
      </c>
      <c r="K708" s="6" t="s">
        <v>24</v>
      </c>
      <c r="L708" s="6"/>
      <c r="M708" s="6" t="str">
        <f t="shared" si="11"/>
        <v>50L-80L</v>
      </c>
    </row>
    <row r="709" spans="1:13" x14ac:dyDescent="0.25">
      <c r="A709" s="6" t="s">
        <v>749</v>
      </c>
      <c r="B709" s="7">
        <v>46182.941944444443</v>
      </c>
      <c r="C709" s="6" t="s">
        <v>36</v>
      </c>
      <c r="D709" s="6" t="s">
        <v>1059</v>
      </c>
      <c r="E709" s="6" t="s">
        <v>15</v>
      </c>
      <c r="F709" s="10">
        <v>5558303</v>
      </c>
      <c r="G709" s="6">
        <v>4</v>
      </c>
      <c r="H709" s="6" t="s">
        <v>37</v>
      </c>
      <c r="I709" s="6" t="s">
        <v>17</v>
      </c>
      <c r="J709" s="6" t="s">
        <v>23</v>
      </c>
      <c r="K709" s="6" t="s">
        <v>24</v>
      </c>
      <c r="L709" s="6"/>
      <c r="M709" s="6" t="str">
        <f t="shared" si="11"/>
        <v>50L-80L</v>
      </c>
    </row>
    <row r="710" spans="1:13" x14ac:dyDescent="0.25">
      <c r="A710" s="6" t="s">
        <v>750</v>
      </c>
      <c r="B710" s="7">
        <v>46183.168171296296</v>
      </c>
      <c r="C710" s="6" t="s">
        <v>26</v>
      </c>
      <c r="D710" s="6" t="s">
        <v>1062</v>
      </c>
      <c r="E710" s="6" t="s">
        <v>15</v>
      </c>
      <c r="F710" s="10">
        <v>4913462</v>
      </c>
      <c r="G710" s="6">
        <v>1</v>
      </c>
      <c r="H710" s="6" t="s">
        <v>16</v>
      </c>
      <c r="I710" s="6" t="s">
        <v>17</v>
      </c>
      <c r="J710" s="6" t="s">
        <v>23</v>
      </c>
      <c r="K710" s="6" t="s">
        <v>24</v>
      </c>
      <c r="L710" s="6"/>
      <c r="M710" s="6" t="str">
        <f t="shared" si="11"/>
        <v>30L-50L</v>
      </c>
    </row>
    <row r="711" spans="1:13" x14ac:dyDescent="0.25">
      <c r="A711" s="6" t="s">
        <v>751</v>
      </c>
      <c r="B711" s="7">
        <v>46183.39439814815</v>
      </c>
      <c r="C711" s="6" t="s">
        <v>30</v>
      </c>
      <c r="D711" s="6" t="s">
        <v>1062</v>
      </c>
      <c r="E711" s="6" t="s">
        <v>15</v>
      </c>
      <c r="F711" s="10">
        <v>4783461</v>
      </c>
      <c r="G711" s="6">
        <v>3</v>
      </c>
      <c r="H711" s="6" t="s">
        <v>37</v>
      </c>
      <c r="I711" s="6" t="s">
        <v>23</v>
      </c>
      <c r="J711" s="6" t="s">
        <v>23</v>
      </c>
      <c r="K711" s="6" t="s">
        <v>18</v>
      </c>
      <c r="L711" s="6">
        <v>4700000</v>
      </c>
      <c r="M711" s="6" t="str">
        <f t="shared" si="11"/>
        <v>30L-50L</v>
      </c>
    </row>
    <row r="712" spans="1:13" x14ac:dyDescent="0.25">
      <c r="A712" s="6" t="s">
        <v>752</v>
      </c>
      <c r="B712" s="7">
        <v>46183.620625000003</v>
      </c>
      <c r="C712" s="6" t="s">
        <v>36</v>
      </c>
      <c r="D712" s="6" t="s">
        <v>1059</v>
      </c>
      <c r="E712" s="6" t="s">
        <v>22</v>
      </c>
      <c r="F712" s="10">
        <v>6278104</v>
      </c>
      <c r="G712" s="6">
        <v>3</v>
      </c>
      <c r="H712" s="6" t="s">
        <v>16</v>
      </c>
      <c r="I712" s="6" t="s">
        <v>23</v>
      </c>
      <c r="J712" s="6" t="s">
        <v>23</v>
      </c>
      <c r="K712" s="6" t="s">
        <v>28</v>
      </c>
      <c r="L712" s="6"/>
      <c r="M712" s="6" t="str">
        <f t="shared" si="11"/>
        <v>50L-80L</v>
      </c>
    </row>
    <row r="713" spans="1:13" x14ac:dyDescent="0.25">
      <c r="A713" s="6" t="s">
        <v>753</v>
      </c>
      <c r="B713" s="7">
        <v>46183.846851851849</v>
      </c>
      <c r="C713" s="6" t="s">
        <v>30</v>
      </c>
      <c r="D713" s="6" t="s">
        <v>1059</v>
      </c>
      <c r="E713" s="6" t="s">
        <v>15</v>
      </c>
      <c r="F713" s="10">
        <v>3287360</v>
      </c>
      <c r="G713" s="6">
        <v>4</v>
      </c>
      <c r="H713" s="6" t="s">
        <v>37</v>
      </c>
      <c r="I713" s="6" t="s">
        <v>23</v>
      </c>
      <c r="J713" s="6" t="s">
        <v>23</v>
      </c>
      <c r="K713" s="6" t="s">
        <v>28</v>
      </c>
      <c r="L713" s="6"/>
      <c r="M713" s="6" t="str">
        <f t="shared" si="11"/>
        <v>30L-50L</v>
      </c>
    </row>
    <row r="714" spans="1:13" x14ac:dyDescent="0.25">
      <c r="A714" s="6" t="s">
        <v>754</v>
      </c>
      <c r="B714" s="7">
        <v>46184.073078703703</v>
      </c>
      <c r="C714" s="6" t="s">
        <v>20</v>
      </c>
      <c r="D714" s="6" t="s">
        <v>1063</v>
      </c>
      <c r="E714" s="6" t="s">
        <v>15</v>
      </c>
      <c r="F714" s="10">
        <v>3597578</v>
      </c>
      <c r="G714" s="6">
        <v>1</v>
      </c>
      <c r="H714" s="6" t="s">
        <v>16</v>
      </c>
      <c r="I714" s="6" t="s">
        <v>17</v>
      </c>
      <c r="J714" s="6" t="s">
        <v>23</v>
      </c>
      <c r="K714" s="6" t="s">
        <v>24</v>
      </c>
      <c r="L714" s="6"/>
      <c r="M714" s="6" t="str">
        <f t="shared" si="11"/>
        <v>30L-50L</v>
      </c>
    </row>
    <row r="715" spans="1:13" x14ac:dyDescent="0.25">
      <c r="A715" s="6" t="s">
        <v>755</v>
      </c>
      <c r="B715" s="7">
        <v>46184.299293981479</v>
      </c>
      <c r="C715" s="6" t="s">
        <v>20</v>
      </c>
      <c r="D715" s="6" t="s">
        <v>1060</v>
      </c>
      <c r="E715" s="6" t="s">
        <v>15</v>
      </c>
      <c r="F715" s="10">
        <v>5495894</v>
      </c>
      <c r="G715" s="6">
        <v>5</v>
      </c>
      <c r="H715" s="6" t="s">
        <v>16</v>
      </c>
      <c r="I715" s="6" t="s">
        <v>17</v>
      </c>
      <c r="J715" s="6" t="s">
        <v>17</v>
      </c>
      <c r="K715" s="6" t="s">
        <v>18</v>
      </c>
      <c r="L715" s="6">
        <v>5300000</v>
      </c>
      <c r="M715" s="6" t="str">
        <f t="shared" si="11"/>
        <v>50L-80L</v>
      </c>
    </row>
    <row r="716" spans="1:13" x14ac:dyDescent="0.25">
      <c r="A716" s="6" t="s">
        <v>756</v>
      </c>
      <c r="B716" s="7">
        <v>46184.525520833333</v>
      </c>
      <c r="C716" s="6" t="s">
        <v>26</v>
      </c>
      <c r="D716" s="6" t="s">
        <v>1059</v>
      </c>
      <c r="E716" s="6" t="s">
        <v>15</v>
      </c>
      <c r="F716" s="10">
        <v>3573340</v>
      </c>
      <c r="G716" s="6">
        <v>6</v>
      </c>
      <c r="H716" s="6" t="s">
        <v>16</v>
      </c>
      <c r="I716" s="6" t="s">
        <v>17</v>
      </c>
      <c r="J716" s="6" t="s">
        <v>23</v>
      </c>
      <c r="K716" s="6" t="s">
        <v>24</v>
      </c>
      <c r="L716" s="6"/>
      <c r="M716" s="6" t="str">
        <f t="shared" si="11"/>
        <v>30L-50L</v>
      </c>
    </row>
    <row r="717" spans="1:13" x14ac:dyDescent="0.25">
      <c r="A717" s="6" t="s">
        <v>757</v>
      </c>
      <c r="B717" s="7">
        <v>46184.751747685186</v>
      </c>
      <c r="C717" s="6" t="s">
        <v>33</v>
      </c>
      <c r="D717" s="6" t="s">
        <v>1061</v>
      </c>
      <c r="E717" s="6" t="s">
        <v>15</v>
      </c>
      <c r="F717" s="10">
        <v>3880147</v>
      </c>
      <c r="G717" s="6">
        <v>1</v>
      </c>
      <c r="H717" s="6" t="s">
        <v>37</v>
      </c>
      <c r="I717" s="6" t="s">
        <v>23</v>
      </c>
      <c r="J717" s="6" t="s">
        <v>23</v>
      </c>
      <c r="K717" s="6" t="s">
        <v>28</v>
      </c>
      <c r="L717" s="6"/>
      <c r="M717" s="6" t="str">
        <f t="shared" si="11"/>
        <v>30L-50L</v>
      </c>
    </row>
    <row r="718" spans="1:13" x14ac:dyDescent="0.25">
      <c r="A718" s="6" t="s">
        <v>758</v>
      </c>
      <c r="B718" s="7">
        <v>46184.97797453704</v>
      </c>
      <c r="C718" s="6" t="s">
        <v>36</v>
      </c>
      <c r="D718" s="6" t="s">
        <v>1059</v>
      </c>
      <c r="E718" s="6" t="s">
        <v>22</v>
      </c>
      <c r="F718" s="10">
        <v>11469471</v>
      </c>
      <c r="G718" s="6">
        <v>5</v>
      </c>
      <c r="H718" s="6" t="s">
        <v>16</v>
      </c>
      <c r="I718" s="6" t="s">
        <v>17</v>
      </c>
      <c r="J718" s="6" t="s">
        <v>23</v>
      </c>
      <c r="K718" s="6" t="s">
        <v>24</v>
      </c>
      <c r="L718" s="6"/>
      <c r="M718" s="6" t="str">
        <f t="shared" si="11"/>
        <v>80L-1.2Cr</v>
      </c>
    </row>
    <row r="719" spans="1:13" x14ac:dyDescent="0.25">
      <c r="A719" s="6" t="s">
        <v>759</v>
      </c>
      <c r="B719" s="7">
        <v>46185.204201388886</v>
      </c>
      <c r="C719" s="6" t="s">
        <v>33</v>
      </c>
      <c r="D719" s="6" t="s">
        <v>1062</v>
      </c>
      <c r="E719" s="6" t="s">
        <v>27</v>
      </c>
      <c r="F719" s="10">
        <v>1843150</v>
      </c>
      <c r="G719" s="6">
        <v>1</v>
      </c>
      <c r="H719" s="6" t="s">
        <v>16</v>
      </c>
      <c r="I719" s="6" t="s">
        <v>17</v>
      </c>
      <c r="J719" s="6" t="s">
        <v>23</v>
      </c>
      <c r="K719" s="6" t="s">
        <v>24</v>
      </c>
      <c r="L719" s="6"/>
      <c r="M719" s="6" t="str">
        <f t="shared" si="11"/>
        <v>Below 30L</v>
      </c>
    </row>
    <row r="720" spans="1:13" x14ac:dyDescent="0.25">
      <c r="A720" s="6" t="s">
        <v>760</v>
      </c>
      <c r="B720" s="7">
        <v>46185.430428240739</v>
      </c>
      <c r="C720" s="6" t="s">
        <v>13</v>
      </c>
      <c r="D720" s="6" t="s">
        <v>1061</v>
      </c>
      <c r="E720" s="6" t="s">
        <v>27</v>
      </c>
      <c r="F720" s="10">
        <v>2643489</v>
      </c>
      <c r="G720" s="6">
        <v>1</v>
      </c>
      <c r="H720" s="6" t="s">
        <v>37</v>
      </c>
      <c r="I720" s="6" t="s">
        <v>23</v>
      </c>
      <c r="J720" s="6" t="s">
        <v>23</v>
      </c>
      <c r="K720" s="6" t="s">
        <v>28</v>
      </c>
      <c r="L720" s="6"/>
      <c r="M720" s="6" t="str">
        <f t="shared" si="11"/>
        <v>Below 30L</v>
      </c>
    </row>
    <row r="721" spans="1:13" x14ac:dyDescent="0.25">
      <c r="A721" s="6" t="s">
        <v>761</v>
      </c>
      <c r="B721" s="7">
        <v>46185.656655092593</v>
      </c>
      <c r="C721" s="6" t="s">
        <v>36</v>
      </c>
      <c r="D721" s="6" t="s">
        <v>1059</v>
      </c>
      <c r="E721" s="6" t="s">
        <v>15</v>
      </c>
      <c r="F721" s="10">
        <v>4769638</v>
      </c>
      <c r="G721" s="6">
        <v>1</v>
      </c>
      <c r="H721" s="6" t="s">
        <v>37</v>
      </c>
      <c r="I721" s="6" t="s">
        <v>23</v>
      </c>
      <c r="J721" s="6" t="s">
        <v>23</v>
      </c>
      <c r="K721" s="6" t="s">
        <v>28</v>
      </c>
      <c r="L721" s="6"/>
      <c r="M721" s="6" t="str">
        <f t="shared" si="11"/>
        <v>30L-50L</v>
      </c>
    </row>
    <row r="722" spans="1:13" x14ac:dyDescent="0.25">
      <c r="A722" s="6" t="s">
        <v>762</v>
      </c>
      <c r="B722" s="7">
        <v>46185.882881944446</v>
      </c>
      <c r="C722" s="6" t="s">
        <v>33</v>
      </c>
      <c r="D722" s="6" t="s">
        <v>1059</v>
      </c>
      <c r="E722" s="6" t="s">
        <v>27</v>
      </c>
      <c r="F722" s="10">
        <v>4365104</v>
      </c>
      <c r="G722" s="6">
        <v>1</v>
      </c>
      <c r="H722" s="6" t="s">
        <v>16</v>
      </c>
      <c r="I722" s="6" t="s">
        <v>23</v>
      </c>
      <c r="J722" s="6" t="s">
        <v>23</v>
      </c>
      <c r="K722" s="6" t="s">
        <v>28</v>
      </c>
      <c r="L722" s="6"/>
      <c r="M722" s="6" t="str">
        <f t="shared" si="11"/>
        <v>30L-50L</v>
      </c>
    </row>
    <row r="723" spans="1:13" x14ac:dyDescent="0.25">
      <c r="A723" s="6" t="s">
        <v>763</v>
      </c>
      <c r="B723" s="7">
        <v>46186.1091087963</v>
      </c>
      <c r="C723" s="6" t="s">
        <v>13</v>
      </c>
      <c r="D723" s="6" t="s">
        <v>1059</v>
      </c>
      <c r="E723" s="6" t="s">
        <v>22</v>
      </c>
      <c r="F723" s="10">
        <v>8406530</v>
      </c>
      <c r="G723" s="6">
        <v>4</v>
      </c>
      <c r="H723" s="6" t="s">
        <v>16</v>
      </c>
      <c r="I723" s="6" t="s">
        <v>17</v>
      </c>
      <c r="J723" s="6" t="s">
        <v>17</v>
      </c>
      <c r="K723" s="6" t="s">
        <v>24</v>
      </c>
      <c r="L723" s="6"/>
      <c r="M723" s="6" t="str">
        <f t="shared" si="11"/>
        <v>80L-1.2Cr</v>
      </c>
    </row>
    <row r="724" spans="1:13" x14ac:dyDescent="0.25">
      <c r="A724" s="6" t="s">
        <v>764</v>
      </c>
      <c r="B724" s="7">
        <v>46186.335335648146</v>
      </c>
      <c r="C724" s="6" t="s">
        <v>13</v>
      </c>
      <c r="D724" s="6" t="s">
        <v>21</v>
      </c>
      <c r="E724" s="6" t="s">
        <v>22</v>
      </c>
      <c r="F724" s="10">
        <v>11083237</v>
      </c>
      <c r="G724" s="6">
        <v>1</v>
      </c>
      <c r="H724" s="6" t="s">
        <v>37</v>
      </c>
      <c r="I724" s="6" t="s">
        <v>23</v>
      </c>
      <c r="J724" s="6" t="s">
        <v>23</v>
      </c>
      <c r="K724" s="6" t="s">
        <v>28</v>
      </c>
      <c r="L724" s="6"/>
      <c r="M724" s="6" t="str">
        <f t="shared" si="11"/>
        <v>80L-1.2Cr</v>
      </c>
    </row>
    <row r="725" spans="1:13" x14ac:dyDescent="0.25">
      <c r="A725" s="6" t="s">
        <v>765</v>
      </c>
      <c r="B725" s="7">
        <v>46186.561562499999</v>
      </c>
      <c r="C725" s="6" t="s">
        <v>36</v>
      </c>
      <c r="D725" s="6" t="s">
        <v>1059</v>
      </c>
      <c r="E725" s="6" t="s">
        <v>15</v>
      </c>
      <c r="F725" s="10">
        <v>4769516</v>
      </c>
      <c r="G725" s="6">
        <v>2</v>
      </c>
      <c r="H725" s="6" t="s">
        <v>37</v>
      </c>
      <c r="I725" s="6" t="s">
        <v>23</v>
      </c>
      <c r="J725" s="6" t="s">
        <v>23</v>
      </c>
      <c r="K725" s="6" t="s">
        <v>28</v>
      </c>
      <c r="L725" s="6"/>
      <c r="M725" s="6" t="str">
        <f t="shared" si="11"/>
        <v>30L-50L</v>
      </c>
    </row>
    <row r="726" spans="1:13" x14ac:dyDescent="0.25">
      <c r="A726" s="6" t="s">
        <v>766</v>
      </c>
      <c r="B726" s="7">
        <v>46186.787789351853</v>
      </c>
      <c r="C726" s="6" t="s">
        <v>20</v>
      </c>
      <c r="D726" s="6" t="s">
        <v>1062</v>
      </c>
      <c r="E726" s="6" t="s">
        <v>15</v>
      </c>
      <c r="F726" s="10">
        <v>6200116</v>
      </c>
      <c r="G726" s="6">
        <v>1</v>
      </c>
      <c r="H726" s="6" t="s">
        <v>16</v>
      </c>
      <c r="I726" s="6" t="s">
        <v>17</v>
      </c>
      <c r="J726" s="6" t="s">
        <v>23</v>
      </c>
      <c r="K726" s="6" t="s">
        <v>24</v>
      </c>
      <c r="L726" s="6"/>
      <c r="M726" s="6" t="str">
        <f t="shared" si="11"/>
        <v>50L-80L</v>
      </c>
    </row>
    <row r="727" spans="1:13" x14ac:dyDescent="0.25">
      <c r="A727" s="6" t="s">
        <v>767</v>
      </c>
      <c r="B727" s="7">
        <v>46187.014016203706</v>
      </c>
      <c r="C727" s="6" t="s">
        <v>36</v>
      </c>
      <c r="D727" s="6" t="s">
        <v>1059</v>
      </c>
      <c r="E727" s="6" t="s">
        <v>15</v>
      </c>
      <c r="F727" s="10">
        <v>5792036</v>
      </c>
      <c r="G727" s="6">
        <v>2</v>
      </c>
      <c r="H727" s="6" t="s">
        <v>16</v>
      </c>
      <c r="I727" s="6" t="s">
        <v>17</v>
      </c>
      <c r="J727" s="6" t="s">
        <v>17</v>
      </c>
      <c r="K727" s="6" t="s">
        <v>18</v>
      </c>
      <c r="L727" s="6">
        <v>5600000</v>
      </c>
      <c r="M727" s="6" t="str">
        <f t="shared" si="11"/>
        <v>50L-80L</v>
      </c>
    </row>
    <row r="728" spans="1:13" x14ac:dyDescent="0.25">
      <c r="A728" s="6" t="s">
        <v>768</v>
      </c>
      <c r="B728" s="7">
        <v>46187.240243055552</v>
      </c>
      <c r="C728" s="6" t="s">
        <v>13</v>
      </c>
      <c r="D728" s="6" t="s">
        <v>1060</v>
      </c>
      <c r="E728" s="6" t="s">
        <v>15</v>
      </c>
      <c r="F728" s="10">
        <v>3237330</v>
      </c>
      <c r="G728" s="6">
        <v>1</v>
      </c>
      <c r="H728" s="6" t="s">
        <v>16</v>
      </c>
      <c r="I728" s="6" t="s">
        <v>23</v>
      </c>
      <c r="J728" s="6" t="s">
        <v>17</v>
      </c>
      <c r="K728" s="6" t="s">
        <v>18</v>
      </c>
      <c r="L728" s="6">
        <v>3250000</v>
      </c>
      <c r="M728" s="6" t="str">
        <f t="shared" si="11"/>
        <v>30L-50L</v>
      </c>
    </row>
    <row r="729" spans="1:13" x14ac:dyDescent="0.25">
      <c r="A729" s="6" t="s">
        <v>769</v>
      </c>
      <c r="B729" s="7">
        <v>46187.466469907406</v>
      </c>
      <c r="C729" s="6" t="s">
        <v>36</v>
      </c>
      <c r="D729" s="6" t="s">
        <v>1061</v>
      </c>
      <c r="E729" s="6" t="s">
        <v>15</v>
      </c>
      <c r="F729" s="10">
        <v>4637901</v>
      </c>
      <c r="G729" s="6">
        <v>3</v>
      </c>
      <c r="H729" s="6" t="s">
        <v>37</v>
      </c>
      <c r="I729" s="6" t="s">
        <v>23</v>
      </c>
      <c r="J729" s="6" t="s">
        <v>23</v>
      </c>
      <c r="K729" s="6" t="s">
        <v>28</v>
      </c>
      <c r="L729" s="6"/>
      <c r="M729" s="6" t="str">
        <f t="shared" si="11"/>
        <v>30L-50L</v>
      </c>
    </row>
    <row r="730" spans="1:13" x14ac:dyDescent="0.25">
      <c r="A730" s="6" t="s">
        <v>770</v>
      </c>
      <c r="B730" s="7">
        <v>46187.692696759259</v>
      </c>
      <c r="C730" s="6" t="s">
        <v>26</v>
      </c>
      <c r="D730" s="6" t="s">
        <v>1063</v>
      </c>
      <c r="E730" s="6" t="s">
        <v>15</v>
      </c>
      <c r="F730" s="10">
        <v>6054317</v>
      </c>
      <c r="G730" s="6">
        <v>1</v>
      </c>
      <c r="H730" s="6" t="s">
        <v>16</v>
      </c>
      <c r="I730" s="6" t="s">
        <v>23</v>
      </c>
      <c r="J730" s="6" t="s">
        <v>23</v>
      </c>
      <c r="K730" s="6" t="s">
        <v>28</v>
      </c>
      <c r="L730" s="6"/>
      <c r="M730" s="6" t="str">
        <f t="shared" si="11"/>
        <v>50L-80L</v>
      </c>
    </row>
    <row r="731" spans="1:13" x14ac:dyDescent="0.25">
      <c r="A731" s="6" t="s">
        <v>771</v>
      </c>
      <c r="B731" s="7">
        <v>46187.918923611112</v>
      </c>
      <c r="C731" s="6" t="s">
        <v>13</v>
      </c>
      <c r="D731" s="6" t="s">
        <v>1062</v>
      </c>
      <c r="E731" s="6" t="s">
        <v>15</v>
      </c>
      <c r="F731" s="10">
        <v>3698419</v>
      </c>
      <c r="G731" s="6">
        <v>5</v>
      </c>
      <c r="H731" s="6" t="s">
        <v>16</v>
      </c>
      <c r="I731" s="6" t="s">
        <v>17</v>
      </c>
      <c r="J731" s="6" t="s">
        <v>17</v>
      </c>
      <c r="K731" s="6" t="s">
        <v>18</v>
      </c>
      <c r="L731" s="6">
        <v>3700000</v>
      </c>
      <c r="M731" s="6" t="str">
        <f t="shared" si="11"/>
        <v>30L-50L</v>
      </c>
    </row>
    <row r="732" spans="1:13" x14ac:dyDescent="0.25">
      <c r="A732" s="6" t="s">
        <v>772</v>
      </c>
      <c r="B732" s="7">
        <v>46188.145150462966</v>
      </c>
      <c r="C732" s="6" t="s">
        <v>13</v>
      </c>
      <c r="D732" s="6" t="s">
        <v>21</v>
      </c>
      <c r="E732" s="6" t="s">
        <v>22</v>
      </c>
      <c r="F732" s="10">
        <v>11120269</v>
      </c>
      <c r="G732" s="6">
        <v>4</v>
      </c>
      <c r="H732" s="6" t="s">
        <v>16</v>
      </c>
      <c r="I732" s="6" t="s">
        <v>17</v>
      </c>
      <c r="J732" s="6" t="s">
        <v>23</v>
      </c>
      <c r="K732" s="6" t="s">
        <v>24</v>
      </c>
      <c r="L732" s="6"/>
      <c r="M732" s="6" t="str">
        <f t="shared" si="11"/>
        <v>80L-1.2Cr</v>
      </c>
    </row>
    <row r="733" spans="1:13" x14ac:dyDescent="0.25">
      <c r="A733" s="6" t="s">
        <v>773</v>
      </c>
      <c r="B733" s="7">
        <v>46188.371365740742</v>
      </c>
      <c r="C733" s="6" t="s">
        <v>36</v>
      </c>
      <c r="D733" s="6" t="s">
        <v>1062</v>
      </c>
      <c r="E733" s="6" t="s">
        <v>15</v>
      </c>
      <c r="F733" s="10">
        <v>6410995</v>
      </c>
      <c r="G733" s="6">
        <v>1</v>
      </c>
      <c r="H733" s="6" t="s">
        <v>37</v>
      </c>
      <c r="I733" s="6" t="s">
        <v>17</v>
      </c>
      <c r="J733" s="6" t="s">
        <v>23</v>
      </c>
      <c r="K733" s="6" t="s">
        <v>24</v>
      </c>
      <c r="L733" s="6"/>
      <c r="M733" s="6" t="str">
        <f t="shared" si="11"/>
        <v>50L-80L</v>
      </c>
    </row>
    <row r="734" spans="1:13" x14ac:dyDescent="0.25">
      <c r="A734" s="6" t="s">
        <v>774</v>
      </c>
      <c r="B734" s="7">
        <v>46188.597592592596</v>
      </c>
      <c r="C734" s="6" t="s">
        <v>30</v>
      </c>
      <c r="D734" s="6" t="s">
        <v>1060</v>
      </c>
      <c r="E734" s="6" t="s">
        <v>15</v>
      </c>
      <c r="F734" s="10">
        <v>4158343</v>
      </c>
      <c r="G734" s="6">
        <v>5</v>
      </c>
      <c r="H734" s="6" t="s">
        <v>16</v>
      </c>
      <c r="I734" s="6" t="s">
        <v>17</v>
      </c>
      <c r="J734" s="6" t="s">
        <v>23</v>
      </c>
      <c r="K734" s="6" t="s">
        <v>24</v>
      </c>
      <c r="L734" s="6"/>
      <c r="M734" s="6" t="str">
        <f t="shared" si="11"/>
        <v>30L-50L</v>
      </c>
    </row>
    <row r="735" spans="1:13" x14ac:dyDescent="0.25">
      <c r="A735" s="6" t="s">
        <v>775</v>
      </c>
      <c r="B735" s="7">
        <v>46188.823819444442</v>
      </c>
      <c r="C735" s="6" t="s">
        <v>20</v>
      </c>
      <c r="D735" s="6" t="s">
        <v>21</v>
      </c>
      <c r="E735" s="6" t="s">
        <v>27</v>
      </c>
      <c r="F735" s="10">
        <v>7674416</v>
      </c>
      <c r="G735" s="6">
        <v>1</v>
      </c>
      <c r="H735" s="6" t="s">
        <v>16</v>
      </c>
      <c r="I735" s="6" t="s">
        <v>17</v>
      </c>
      <c r="J735" s="6" t="s">
        <v>23</v>
      </c>
      <c r="K735" s="6" t="s">
        <v>24</v>
      </c>
      <c r="L735" s="6"/>
      <c r="M735" s="6" t="str">
        <f t="shared" si="11"/>
        <v>50L-80L</v>
      </c>
    </row>
    <row r="736" spans="1:13" x14ac:dyDescent="0.25">
      <c r="A736" s="6" t="s">
        <v>776</v>
      </c>
      <c r="B736" s="7">
        <v>46189.050046296295</v>
      </c>
      <c r="C736" s="6" t="s">
        <v>26</v>
      </c>
      <c r="D736" s="6" t="s">
        <v>1059</v>
      </c>
      <c r="E736" s="6" t="s">
        <v>27</v>
      </c>
      <c r="F736" s="10">
        <v>2462454</v>
      </c>
      <c r="G736" s="6">
        <v>1</v>
      </c>
      <c r="H736" s="6" t="s">
        <v>16</v>
      </c>
      <c r="I736" s="6" t="s">
        <v>17</v>
      </c>
      <c r="J736" s="6" t="s">
        <v>17</v>
      </c>
      <c r="K736" s="6" t="s">
        <v>18</v>
      </c>
      <c r="L736" s="6">
        <v>2350000</v>
      </c>
      <c r="M736" s="6" t="str">
        <f t="shared" si="11"/>
        <v>Below 30L</v>
      </c>
    </row>
    <row r="737" spans="1:13" x14ac:dyDescent="0.25">
      <c r="A737" s="6" t="s">
        <v>777</v>
      </c>
      <c r="B737" s="7">
        <v>46189.276273148149</v>
      </c>
      <c r="C737" s="6" t="s">
        <v>36</v>
      </c>
      <c r="D737" s="6" t="s">
        <v>1061</v>
      </c>
      <c r="E737" s="6" t="s">
        <v>22</v>
      </c>
      <c r="F737" s="10">
        <v>10041020</v>
      </c>
      <c r="G737" s="6">
        <v>1</v>
      </c>
      <c r="H737" s="6" t="s">
        <v>37</v>
      </c>
      <c r="I737" s="6" t="s">
        <v>23</v>
      </c>
      <c r="J737" s="6" t="s">
        <v>23</v>
      </c>
      <c r="K737" s="6" t="s">
        <v>28</v>
      </c>
      <c r="L737" s="6"/>
      <c r="M737" s="6" t="str">
        <f t="shared" si="11"/>
        <v>80L-1.2Cr</v>
      </c>
    </row>
    <row r="738" spans="1:13" x14ac:dyDescent="0.25">
      <c r="A738" s="6" t="s">
        <v>778</v>
      </c>
      <c r="B738" s="7">
        <v>46189.502500000002</v>
      </c>
      <c r="C738" s="6" t="s">
        <v>26</v>
      </c>
      <c r="D738" s="6" t="s">
        <v>1060</v>
      </c>
      <c r="E738" s="6" t="s">
        <v>27</v>
      </c>
      <c r="F738" s="10">
        <v>3195000</v>
      </c>
      <c r="G738" s="6">
        <v>2</v>
      </c>
      <c r="H738" s="6" t="s">
        <v>16</v>
      </c>
      <c r="I738" s="6" t="s">
        <v>17</v>
      </c>
      <c r="J738" s="6" t="s">
        <v>17</v>
      </c>
      <c r="K738" s="6" t="s">
        <v>24</v>
      </c>
      <c r="L738" s="6"/>
      <c r="M738" s="6" t="str">
        <f t="shared" si="11"/>
        <v>30L-50L</v>
      </c>
    </row>
    <row r="739" spans="1:13" x14ac:dyDescent="0.25">
      <c r="A739" s="6" t="s">
        <v>779</v>
      </c>
      <c r="B739" s="7">
        <v>46189.728726851848</v>
      </c>
      <c r="C739" s="6" t="s">
        <v>36</v>
      </c>
      <c r="D739" s="6" t="s">
        <v>1059</v>
      </c>
      <c r="E739" s="6" t="s">
        <v>15</v>
      </c>
      <c r="F739" s="10">
        <v>3063014</v>
      </c>
      <c r="G739" s="6">
        <v>3</v>
      </c>
      <c r="H739" s="6" t="s">
        <v>16</v>
      </c>
      <c r="I739" s="6" t="s">
        <v>17</v>
      </c>
      <c r="J739" s="6" t="s">
        <v>23</v>
      </c>
      <c r="K739" s="6" t="s">
        <v>24</v>
      </c>
      <c r="L739" s="6"/>
      <c r="M739" s="6" t="str">
        <f t="shared" si="11"/>
        <v>30L-50L</v>
      </c>
    </row>
    <row r="740" spans="1:13" x14ac:dyDescent="0.25">
      <c r="A740" s="6" t="s">
        <v>780</v>
      </c>
      <c r="B740" s="7">
        <v>46189.954953703702</v>
      </c>
      <c r="C740" s="6" t="s">
        <v>20</v>
      </c>
      <c r="D740" s="6" t="s">
        <v>21</v>
      </c>
      <c r="E740" s="6" t="s">
        <v>27</v>
      </c>
      <c r="F740" s="10">
        <v>7282703</v>
      </c>
      <c r="G740" s="6">
        <v>4</v>
      </c>
      <c r="H740" s="6" t="s">
        <v>16</v>
      </c>
      <c r="I740" s="6" t="s">
        <v>17</v>
      </c>
      <c r="J740" s="6" t="s">
        <v>23</v>
      </c>
      <c r="K740" s="6" t="s">
        <v>18</v>
      </c>
      <c r="L740" s="6">
        <v>7550000</v>
      </c>
      <c r="M740" s="6" t="str">
        <f t="shared" si="11"/>
        <v>50L-80L</v>
      </c>
    </row>
    <row r="741" spans="1:13" x14ac:dyDescent="0.25">
      <c r="A741" s="6" t="s">
        <v>781</v>
      </c>
      <c r="B741" s="7">
        <v>46190.181180555555</v>
      </c>
      <c r="C741" s="6" t="s">
        <v>26</v>
      </c>
      <c r="D741" s="6" t="s">
        <v>21</v>
      </c>
      <c r="E741" s="6" t="s">
        <v>15</v>
      </c>
      <c r="F741" s="10">
        <v>5970414</v>
      </c>
      <c r="G741" s="6">
        <v>2</v>
      </c>
      <c r="H741" s="6" t="s">
        <v>37</v>
      </c>
      <c r="I741" s="6" t="s">
        <v>23</v>
      </c>
      <c r="J741" s="6" t="s">
        <v>23</v>
      </c>
      <c r="K741" s="6" t="s">
        <v>28</v>
      </c>
      <c r="L741" s="6"/>
      <c r="M741" s="6" t="str">
        <f t="shared" si="11"/>
        <v>50L-80L</v>
      </c>
    </row>
    <row r="742" spans="1:13" x14ac:dyDescent="0.25">
      <c r="A742" s="6" t="s">
        <v>782</v>
      </c>
      <c r="B742" s="7">
        <v>46190.407407407409</v>
      </c>
      <c r="C742" s="6" t="s">
        <v>20</v>
      </c>
      <c r="D742" s="6" t="s">
        <v>1063</v>
      </c>
      <c r="E742" s="6" t="s">
        <v>15</v>
      </c>
      <c r="F742" s="10">
        <v>4094697</v>
      </c>
      <c r="G742" s="6">
        <v>4</v>
      </c>
      <c r="H742" s="6" t="s">
        <v>16</v>
      </c>
      <c r="I742" s="6" t="s">
        <v>23</v>
      </c>
      <c r="J742" s="6" t="s">
        <v>17</v>
      </c>
      <c r="K742" s="6" t="s">
        <v>28</v>
      </c>
      <c r="L742" s="6"/>
      <c r="M742" s="6" t="str">
        <f t="shared" si="11"/>
        <v>30L-50L</v>
      </c>
    </row>
    <row r="743" spans="1:13" x14ac:dyDescent="0.25">
      <c r="A743" s="6" t="s">
        <v>783</v>
      </c>
      <c r="B743" s="7">
        <v>46190.633634259262</v>
      </c>
      <c r="C743" s="6" t="s">
        <v>26</v>
      </c>
      <c r="D743" s="6" t="s">
        <v>1062</v>
      </c>
      <c r="E743" s="6" t="s">
        <v>15</v>
      </c>
      <c r="F743" s="10">
        <v>4822342</v>
      </c>
      <c r="G743" s="6">
        <v>1</v>
      </c>
      <c r="H743" s="6" t="s">
        <v>16</v>
      </c>
      <c r="I743" s="6" t="s">
        <v>23</v>
      </c>
      <c r="J743" s="6" t="s">
        <v>17</v>
      </c>
      <c r="K743" s="6" t="s">
        <v>18</v>
      </c>
      <c r="L743" s="6">
        <v>5000000</v>
      </c>
      <c r="M743" s="6" t="str">
        <f t="shared" si="11"/>
        <v>30L-50L</v>
      </c>
    </row>
    <row r="744" spans="1:13" x14ac:dyDescent="0.25">
      <c r="A744" s="6" t="s">
        <v>784</v>
      </c>
      <c r="B744" s="7">
        <v>46190.859861111108</v>
      </c>
      <c r="C744" s="6" t="s">
        <v>36</v>
      </c>
      <c r="D744" s="6" t="s">
        <v>1063</v>
      </c>
      <c r="E744" s="6" t="s">
        <v>15</v>
      </c>
      <c r="F744" s="10">
        <v>5797683</v>
      </c>
      <c r="G744" s="6">
        <v>4</v>
      </c>
      <c r="H744" s="6" t="s">
        <v>16</v>
      </c>
      <c r="I744" s="6" t="s">
        <v>17</v>
      </c>
      <c r="J744" s="6" t="s">
        <v>17</v>
      </c>
      <c r="K744" s="6" t="s">
        <v>24</v>
      </c>
      <c r="L744" s="6"/>
      <c r="M744" s="6" t="str">
        <f t="shared" si="11"/>
        <v>50L-80L</v>
      </c>
    </row>
    <row r="745" spans="1:13" x14ac:dyDescent="0.25">
      <c r="A745" s="6" t="s">
        <v>785</v>
      </c>
      <c r="B745" s="7">
        <v>46191.086087962962</v>
      </c>
      <c r="C745" s="6" t="s">
        <v>20</v>
      </c>
      <c r="D745" s="6" t="s">
        <v>1059</v>
      </c>
      <c r="E745" s="6" t="s">
        <v>15</v>
      </c>
      <c r="F745" s="10">
        <v>6041038</v>
      </c>
      <c r="G745" s="6">
        <v>1</v>
      </c>
      <c r="H745" s="6" t="s">
        <v>37</v>
      </c>
      <c r="I745" s="6" t="s">
        <v>23</v>
      </c>
      <c r="J745" s="6" t="s">
        <v>23</v>
      </c>
      <c r="K745" s="6" t="s">
        <v>28</v>
      </c>
      <c r="L745" s="6"/>
      <c r="M745" s="6" t="str">
        <f t="shared" si="11"/>
        <v>50L-80L</v>
      </c>
    </row>
    <row r="746" spans="1:13" x14ac:dyDescent="0.25">
      <c r="A746" s="6" t="s">
        <v>786</v>
      </c>
      <c r="B746" s="7">
        <v>46191.312314814815</v>
      </c>
      <c r="C746" s="6" t="s">
        <v>26</v>
      </c>
      <c r="D746" s="6" t="s">
        <v>21</v>
      </c>
      <c r="E746" s="6" t="s">
        <v>22</v>
      </c>
      <c r="F746" s="10">
        <v>11102353</v>
      </c>
      <c r="G746" s="6">
        <v>1</v>
      </c>
      <c r="H746" s="6" t="s">
        <v>37</v>
      </c>
      <c r="I746" s="6" t="s">
        <v>17</v>
      </c>
      <c r="J746" s="6" t="s">
        <v>23</v>
      </c>
      <c r="K746" s="6" t="s">
        <v>24</v>
      </c>
      <c r="L746" s="6"/>
      <c r="M746" s="6" t="str">
        <f t="shared" si="11"/>
        <v>80L-1.2Cr</v>
      </c>
    </row>
    <row r="747" spans="1:13" x14ac:dyDescent="0.25">
      <c r="A747" s="6" t="s">
        <v>787</v>
      </c>
      <c r="B747" s="7">
        <v>46191.538541666669</v>
      </c>
      <c r="C747" s="6" t="s">
        <v>36</v>
      </c>
      <c r="D747" s="6" t="s">
        <v>1060</v>
      </c>
      <c r="E747" s="6" t="s">
        <v>22</v>
      </c>
      <c r="F747" s="10">
        <v>10537313</v>
      </c>
      <c r="G747" s="6">
        <v>1</v>
      </c>
      <c r="H747" s="6" t="s">
        <v>37</v>
      </c>
      <c r="I747" s="6" t="s">
        <v>23</v>
      </c>
      <c r="J747" s="6" t="s">
        <v>23</v>
      </c>
      <c r="K747" s="6" t="s">
        <v>28</v>
      </c>
      <c r="L747" s="6"/>
      <c r="M747" s="6" t="str">
        <f t="shared" si="11"/>
        <v>80L-1.2Cr</v>
      </c>
    </row>
    <row r="748" spans="1:13" x14ac:dyDescent="0.25">
      <c r="A748" s="6" t="s">
        <v>788</v>
      </c>
      <c r="B748" s="7">
        <v>46191.764768518522</v>
      </c>
      <c r="C748" s="6" t="s">
        <v>26</v>
      </c>
      <c r="D748" s="6" t="s">
        <v>1059</v>
      </c>
      <c r="E748" s="6" t="s">
        <v>22</v>
      </c>
      <c r="F748" s="10">
        <v>16720059</v>
      </c>
      <c r="G748" s="6">
        <v>1</v>
      </c>
      <c r="H748" s="6" t="s">
        <v>37</v>
      </c>
      <c r="I748" s="6" t="s">
        <v>23</v>
      </c>
      <c r="J748" s="6" t="s">
        <v>23</v>
      </c>
      <c r="K748" s="6" t="s">
        <v>18</v>
      </c>
      <c r="L748" s="6">
        <v>16500000</v>
      </c>
      <c r="M748" s="6" t="str">
        <f t="shared" si="11"/>
        <v>Above 1.2Cr</v>
      </c>
    </row>
    <row r="749" spans="1:13" x14ac:dyDescent="0.25">
      <c r="A749" s="6" t="s">
        <v>789</v>
      </c>
      <c r="B749" s="7">
        <v>46191.990995370368</v>
      </c>
      <c r="C749" s="6" t="s">
        <v>20</v>
      </c>
      <c r="D749" s="6" t="s">
        <v>1059</v>
      </c>
      <c r="E749" s="6" t="s">
        <v>15</v>
      </c>
      <c r="F749" s="10">
        <v>3346030</v>
      </c>
      <c r="G749" s="6">
        <v>3</v>
      </c>
      <c r="H749" s="6" t="s">
        <v>16</v>
      </c>
      <c r="I749" s="6" t="s">
        <v>17</v>
      </c>
      <c r="J749" s="6" t="s">
        <v>23</v>
      </c>
      <c r="K749" s="6" t="s">
        <v>24</v>
      </c>
      <c r="L749" s="6"/>
      <c r="M749" s="6" t="str">
        <f t="shared" si="11"/>
        <v>30L-50L</v>
      </c>
    </row>
    <row r="750" spans="1:13" x14ac:dyDescent="0.25">
      <c r="A750" s="6" t="s">
        <v>790</v>
      </c>
      <c r="B750" s="7">
        <v>46192.217222222222</v>
      </c>
      <c r="C750" s="6" t="s">
        <v>33</v>
      </c>
      <c r="D750" s="6" t="s">
        <v>1063</v>
      </c>
      <c r="E750" s="6" t="s">
        <v>27</v>
      </c>
      <c r="F750" s="10">
        <v>2962538</v>
      </c>
      <c r="G750" s="6">
        <v>4</v>
      </c>
      <c r="H750" s="6" t="s">
        <v>37</v>
      </c>
      <c r="I750" s="6" t="s">
        <v>23</v>
      </c>
      <c r="J750" s="6" t="s">
        <v>23</v>
      </c>
      <c r="K750" s="6" t="s">
        <v>28</v>
      </c>
      <c r="L750" s="6"/>
      <c r="M750" s="6" t="str">
        <f t="shared" si="11"/>
        <v>Below 30L</v>
      </c>
    </row>
    <row r="751" spans="1:13" x14ac:dyDescent="0.25">
      <c r="A751" s="6" t="s">
        <v>791</v>
      </c>
      <c r="B751" s="7">
        <v>46192.443449074075</v>
      </c>
      <c r="C751" s="6" t="s">
        <v>30</v>
      </c>
      <c r="D751" s="6" t="s">
        <v>1059</v>
      </c>
      <c r="E751" s="6" t="s">
        <v>22</v>
      </c>
      <c r="F751" s="10">
        <v>14026820</v>
      </c>
      <c r="G751" s="6">
        <v>1</v>
      </c>
      <c r="H751" s="6" t="s">
        <v>16</v>
      </c>
      <c r="I751" s="6" t="s">
        <v>17</v>
      </c>
      <c r="J751" s="6" t="s">
        <v>23</v>
      </c>
      <c r="K751" s="6" t="s">
        <v>24</v>
      </c>
      <c r="L751" s="6"/>
      <c r="M751" s="6" t="str">
        <f t="shared" si="11"/>
        <v>Above 1.2Cr</v>
      </c>
    </row>
    <row r="752" spans="1:13" x14ac:dyDescent="0.25">
      <c r="A752" s="6" t="s">
        <v>792</v>
      </c>
      <c r="B752" s="7">
        <v>46192.669664351852</v>
      </c>
      <c r="C752" s="6" t="s">
        <v>13</v>
      </c>
      <c r="D752" s="6" t="s">
        <v>1060</v>
      </c>
      <c r="E752" s="6" t="s">
        <v>15</v>
      </c>
      <c r="F752" s="10">
        <v>3335513</v>
      </c>
      <c r="G752" s="6">
        <v>4</v>
      </c>
      <c r="H752" s="6" t="s">
        <v>37</v>
      </c>
      <c r="I752" s="6" t="s">
        <v>23</v>
      </c>
      <c r="J752" s="6" t="s">
        <v>23</v>
      </c>
      <c r="K752" s="6" t="s">
        <v>28</v>
      </c>
      <c r="L752" s="6"/>
      <c r="M752" s="6" t="str">
        <f t="shared" si="11"/>
        <v>30L-50L</v>
      </c>
    </row>
    <row r="753" spans="1:13" x14ac:dyDescent="0.25">
      <c r="A753" s="6" t="s">
        <v>793</v>
      </c>
      <c r="B753" s="7">
        <v>46192.895891203705</v>
      </c>
      <c r="C753" s="6" t="s">
        <v>33</v>
      </c>
      <c r="D753" s="6" t="s">
        <v>1059</v>
      </c>
      <c r="E753" s="6" t="s">
        <v>22</v>
      </c>
      <c r="F753" s="10">
        <v>10169772</v>
      </c>
      <c r="G753" s="6">
        <v>3</v>
      </c>
      <c r="H753" s="6" t="s">
        <v>16</v>
      </c>
      <c r="I753" s="6" t="s">
        <v>23</v>
      </c>
      <c r="J753" s="6" t="s">
        <v>17</v>
      </c>
      <c r="K753" s="6" t="s">
        <v>18</v>
      </c>
      <c r="L753" s="6">
        <v>9950000</v>
      </c>
      <c r="M753" s="6" t="str">
        <f t="shared" si="11"/>
        <v>80L-1.2Cr</v>
      </c>
    </row>
    <row r="754" spans="1:13" x14ac:dyDescent="0.25">
      <c r="A754" s="6" t="s">
        <v>794</v>
      </c>
      <c r="B754" s="7">
        <v>46193.122118055559</v>
      </c>
      <c r="C754" s="6" t="s">
        <v>30</v>
      </c>
      <c r="D754" s="6" t="s">
        <v>1059</v>
      </c>
      <c r="E754" s="6" t="s">
        <v>15</v>
      </c>
      <c r="F754" s="10">
        <v>3886388</v>
      </c>
      <c r="G754" s="6">
        <v>5</v>
      </c>
      <c r="H754" s="6" t="s">
        <v>16</v>
      </c>
      <c r="I754" s="6" t="s">
        <v>17</v>
      </c>
      <c r="J754" s="6" t="s">
        <v>23</v>
      </c>
      <c r="K754" s="6" t="s">
        <v>24</v>
      </c>
      <c r="L754" s="6"/>
      <c r="M754" s="6" t="str">
        <f t="shared" si="11"/>
        <v>30L-50L</v>
      </c>
    </row>
    <row r="755" spans="1:13" x14ac:dyDescent="0.25">
      <c r="A755" s="6" t="s">
        <v>795</v>
      </c>
      <c r="B755" s="7">
        <v>46193.348344907405</v>
      </c>
      <c r="C755" s="6" t="s">
        <v>26</v>
      </c>
      <c r="D755" s="6" t="s">
        <v>1059</v>
      </c>
      <c r="E755" s="6" t="s">
        <v>15</v>
      </c>
      <c r="F755" s="10">
        <v>6453589</v>
      </c>
      <c r="G755" s="6">
        <v>1</v>
      </c>
      <c r="H755" s="6" t="s">
        <v>37</v>
      </c>
      <c r="I755" s="6" t="s">
        <v>23</v>
      </c>
      <c r="J755" s="6" t="s">
        <v>23</v>
      </c>
      <c r="K755" s="6" t="s">
        <v>28</v>
      </c>
      <c r="L755" s="6"/>
      <c r="M755" s="6" t="str">
        <f t="shared" si="11"/>
        <v>50L-80L</v>
      </c>
    </row>
    <row r="756" spans="1:13" x14ac:dyDescent="0.25">
      <c r="A756" s="6" t="s">
        <v>796</v>
      </c>
      <c r="B756" s="7">
        <v>46193.574571759258</v>
      </c>
      <c r="C756" s="6" t="s">
        <v>13</v>
      </c>
      <c r="D756" s="6" t="s">
        <v>1061</v>
      </c>
      <c r="E756" s="6" t="s">
        <v>27</v>
      </c>
      <c r="F756" s="10">
        <v>2534104</v>
      </c>
      <c r="G756" s="6">
        <v>2</v>
      </c>
      <c r="H756" s="6" t="s">
        <v>16</v>
      </c>
      <c r="I756" s="6" t="s">
        <v>17</v>
      </c>
      <c r="J756" s="6" t="s">
        <v>17</v>
      </c>
      <c r="K756" s="6" t="s">
        <v>24</v>
      </c>
      <c r="L756" s="6"/>
      <c r="M756" s="6" t="str">
        <f t="shared" si="11"/>
        <v>Below 30L</v>
      </c>
    </row>
    <row r="757" spans="1:13" x14ac:dyDescent="0.25">
      <c r="A757" s="6" t="s">
        <v>797</v>
      </c>
      <c r="B757" s="7">
        <v>46193.800798611112</v>
      </c>
      <c r="C757" s="6" t="s">
        <v>36</v>
      </c>
      <c r="D757" s="6" t="s">
        <v>1063</v>
      </c>
      <c r="E757" s="6" t="s">
        <v>15</v>
      </c>
      <c r="F757" s="10">
        <v>7344157</v>
      </c>
      <c r="G757" s="6">
        <v>5</v>
      </c>
      <c r="H757" s="6" t="s">
        <v>16</v>
      </c>
      <c r="I757" s="6" t="s">
        <v>17</v>
      </c>
      <c r="J757" s="6" t="s">
        <v>23</v>
      </c>
      <c r="K757" s="6" t="s">
        <v>24</v>
      </c>
      <c r="L757" s="6"/>
      <c r="M757" s="6" t="str">
        <f t="shared" si="11"/>
        <v>50L-80L</v>
      </c>
    </row>
    <row r="758" spans="1:13" x14ac:dyDescent="0.25">
      <c r="A758" s="6" t="s">
        <v>798</v>
      </c>
      <c r="B758" s="7">
        <v>46194.027025462965</v>
      </c>
      <c r="C758" s="6" t="s">
        <v>30</v>
      </c>
      <c r="D758" s="6" t="s">
        <v>1061</v>
      </c>
      <c r="E758" s="6" t="s">
        <v>15</v>
      </c>
      <c r="F758" s="10">
        <v>5777881</v>
      </c>
      <c r="G758" s="6">
        <v>3</v>
      </c>
      <c r="H758" s="6" t="s">
        <v>16</v>
      </c>
      <c r="I758" s="6" t="s">
        <v>23</v>
      </c>
      <c r="J758" s="6" t="s">
        <v>23</v>
      </c>
      <c r="K758" s="6" t="s">
        <v>28</v>
      </c>
      <c r="L758" s="6"/>
      <c r="M758" s="6" t="str">
        <f t="shared" si="11"/>
        <v>50L-80L</v>
      </c>
    </row>
    <row r="759" spans="1:13" x14ac:dyDescent="0.25">
      <c r="A759" s="6" t="s">
        <v>799</v>
      </c>
      <c r="B759" s="7">
        <v>46194.253252314818</v>
      </c>
      <c r="C759" s="6" t="s">
        <v>20</v>
      </c>
      <c r="D759" s="6" t="s">
        <v>1060</v>
      </c>
      <c r="E759" s="6" t="s">
        <v>27</v>
      </c>
      <c r="F759" s="10">
        <v>5815364</v>
      </c>
      <c r="G759" s="6">
        <v>2</v>
      </c>
      <c r="H759" s="6" t="s">
        <v>16</v>
      </c>
      <c r="I759" s="6" t="s">
        <v>23</v>
      </c>
      <c r="J759" s="6" t="s">
        <v>23</v>
      </c>
      <c r="K759" s="6" t="s">
        <v>28</v>
      </c>
      <c r="L759" s="6"/>
      <c r="M759" s="6" t="str">
        <f t="shared" si="11"/>
        <v>50L-80L</v>
      </c>
    </row>
    <row r="760" spans="1:13" x14ac:dyDescent="0.25">
      <c r="A760" s="6" t="s">
        <v>800</v>
      </c>
      <c r="B760" s="7">
        <v>46194.479479166665</v>
      </c>
      <c r="C760" s="6" t="s">
        <v>36</v>
      </c>
      <c r="D760" s="6" t="s">
        <v>1059</v>
      </c>
      <c r="E760" s="6" t="s">
        <v>22</v>
      </c>
      <c r="F760" s="10">
        <v>7694000</v>
      </c>
      <c r="G760" s="6">
        <v>1</v>
      </c>
      <c r="H760" s="6" t="s">
        <v>37</v>
      </c>
      <c r="I760" s="6" t="s">
        <v>23</v>
      </c>
      <c r="J760" s="6" t="s">
        <v>23</v>
      </c>
      <c r="K760" s="6" t="s">
        <v>28</v>
      </c>
      <c r="L760" s="6"/>
      <c r="M760" s="6" t="str">
        <f t="shared" si="11"/>
        <v>50L-80L</v>
      </c>
    </row>
    <row r="761" spans="1:13" x14ac:dyDescent="0.25">
      <c r="A761" s="6" t="s">
        <v>801</v>
      </c>
      <c r="B761" s="7">
        <v>46194.705706018518</v>
      </c>
      <c r="C761" s="6" t="s">
        <v>36</v>
      </c>
      <c r="D761" s="6" t="s">
        <v>1060</v>
      </c>
      <c r="E761" s="6" t="s">
        <v>15</v>
      </c>
      <c r="F761" s="10">
        <v>4972698</v>
      </c>
      <c r="G761" s="6">
        <v>2</v>
      </c>
      <c r="H761" s="6" t="s">
        <v>16</v>
      </c>
      <c r="I761" s="6" t="s">
        <v>17</v>
      </c>
      <c r="J761" s="6" t="s">
        <v>17</v>
      </c>
      <c r="K761" s="6" t="s">
        <v>18</v>
      </c>
      <c r="L761" s="6">
        <v>4800000</v>
      </c>
      <c r="M761" s="6" t="str">
        <f t="shared" si="11"/>
        <v>30L-50L</v>
      </c>
    </row>
    <row r="762" spans="1:13" x14ac:dyDescent="0.25">
      <c r="A762" s="6" t="s">
        <v>802</v>
      </c>
      <c r="B762" s="7">
        <v>46194.931932870371</v>
      </c>
      <c r="C762" s="6" t="s">
        <v>13</v>
      </c>
      <c r="D762" s="6" t="s">
        <v>1060</v>
      </c>
      <c r="E762" s="6" t="s">
        <v>15</v>
      </c>
      <c r="F762" s="10">
        <v>3685493</v>
      </c>
      <c r="G762" s="6">
        <v>3</v>
      </c>
      <c r="H762" s="6" t="s">
        <v>37</v>
      </c>
      <c r="I762" s="6" t="s">
        <v>23</v>
      </c>
      <c r="J762" s="6" t="s">
        <v>23</v>
      </c>
      <c r="K762" s="6" t="s">
        <v>28</v>
      </c>
      <c r="L762" s="6"/>
      <c r="M762" s="6" t="str">
        <f t="shared" si="11"/>
        <v>30L-50L</v>
      </c>
    </row>
    <row r="763" spans="1:13" x14ac:dyDescent="0.25">
      <c r="A763" s="6" t="s">
        <v>803</v>
      </c>
      <c r="B763" s="7">
        <v>46195.158159722225</v>
      </c>
      <c r="C763" s="6" t="s">
        <v>26</v>
      </c>
      <c r="D763" s="6" t="s">
        <v>1063</v>
      </c>
      <c r="E763" s="6" t="s">
        <v>15</v>
      </c>
      <c r="F763" s="10">
        <v>6493133</v>
      </c>
      <c r="G763" s="6">
        <v>4</v>
      </c>
      <c r="H763" s="6" t="s">
        <v>16</v>
      </c>
      <c r="I763" s="6" t="s">
        <v>17</v>
      </c>
      <c r="J763" s="6" t="s">
        <v>17</v>
      </c>
      <c r="K763" s="6" t="s">
        <v>18</v>
      </c>
      <c r="L763" s="6">
        <v>6550000</v>
      </c>
      <c r="M763" s="6" t="str">
        <f t="shared" si="11"/>
        <v>50L-80L</v>
      </c>
    </row>
    <row r="764" spans="1:13" x14ac:dyDescent="0.25">
      <c r="A764" s="6" t="s">
        <v>804</v>
      </c>
      <c r="B764" s="7">
        <v>46195.384386574071</v>
      </c>
      <c r="C764" s="6" t="s">
        <v>26</v>
      </c>
      <c r="D764" s="6" t="s">
        <v>1059</v>
      </c>
      <c r="E764" s="6" t="s">
        <v>22</v>
      </c>
      <c r="F764" s="10">
        <v>8399771</v>
      </c>
      <c r="G764" s="6">
        <v>1</v>
      </c>
      <c r="H764" s="6" t="s">
        <v>16</v>
      </c>
      <c r="I764" s="6" t="s">
        <v>17</v>
      </c>
      <c r="J764" s="6" t="s">
        <v>17</v>
      </c>
      <c r="K764" s="6" t="s">
        <v>24</v>
      </c>
      <c r="L764" s="6"/>
      <c r="M764" s="6" t="str">
        <f t="shared" si="11"/>
        <v>80L-1.2Cr</v>
      </c>
    </row>
    <row r="765" spans="1:13" x14ac:dyDescent="0.25">
      <c r="A765" s="6" t="s">
        <v>805</v>
      </c>
      <c r="B765" s="7">
        <v>46195.610613425924</v>
      </c>
      <c r="C765" s="6" t="s">
        <v>36</v>
      </c>
      <c r="D765" s="6" t="s">
        <v>1060</v>
      </c>
      <c r="E765" s="6" t="s">
        <v>15</v>
      </c>
      <c r="F765" s="10">
        <v>6261593</v>
      </c>
      <c r="G765" s="6">
        <v>3</v>
      </c>
      <c r="H765" s="6" t="s">
        <v>37</v>
      </c>
      <c r="I765" s="6" t="s">
        <v>23</v>
      </c>
      <c r="J765" s="6" t="s">
        <v>23</v>
      </c>
      <c r="K765" s="6" t="s">
        <v>28</v>
      </c>
      <c r="L765" s="6"/>
      <c r="M765" s="6" t="str">
        <f t="shared" si="11"/>
        <v>50L-80L</v>
      </c>
    </row>
    <row r="766" spans="1:13" x14ac:dyDescent="0.25">
      <c r="A766" s="6" t="s">
        <v>806</v>
      </c>
      <c r="B766" s="7">
        <v>46195.836840277778</v>
      </c>
      <c r="C766" s="6" t="s">
        <v>13</v>
      </c>
      <c r="D766" s="6" t="s">
        <v>1059</v>
      </c>
      <c r="E766" s="6" t="s">
        <v>15</v>
      </c>
      <c r="F766" s="10">
        <v>3107573</v>
      </c>
      <c r="G766" s="6">
        <v>3</v>
      </c>
      <c r="H766" s="6" t="s">
        <v>16</v>
      </c>
      <c r="I766" s="6" t="s">
        <v>17</v>
      </c>
      <c r="J766" s="6" t="s">
        <v>17</v>
      </c>
      <c r="K766" s="6" t="s">
        <v>18</v>
      </c>
      <c r="L766" s="6">
        <v>3150000</v>
      </c>
      <c r="M766" s="6" t="str">
        <f t="shared" si="11"/>
        <v>30L-50L</v>
      </c>
    </row>
    <row r="767" spans="1:13" x14ac:dyDescent="0.25">
      <c r="A767" s="6" t="s">
        <v>807</v>
      </c>
      <c r="B767" s="7">
        <v>46196.063067129631</v>
      </c>
      <c r="C767" s="6" t="s">
        <v>20</v>
      </c>
      <c r="D767" s="6" t="s">
        <v>21</v>
      </c>
      <c r="E767" s="6" t="s">
        <v>27</v>
      </c>
      <c r="F767" s="10">
        <v>3269153</v>
      </c>
      <c r="G767" s="6">
        <v>3</v>
      </c>
      <c r="H767" s="6" t="s">
        <v>37</v>
      </c>
      <c r="I767" s="6" t="s">
        <v>23</v>
      </c>
      <c r="J767" s="6" t="s">
        <v>23</v>
      </c>
      <c r="K767" s="6" t="s">
        <v>28</v>
      </c>
      <c r="L767" s="6"/>
      <c r="M767" s="6" t="str">
        <f t="shared" si="11"/>
        <v>30L-50L</v>
      </c>
    </row>
    <row r="768" spans="1:13" x14ac:dyDescent="0.25">
      <c r="A768" s="6" t="s">
        <v>808</v>
      </c>
      <c r="B768" s="7">
        <v>46196.289293981485</v>
      </c>
      <c r="C768" s="6" t="s">
        <v>36</v>
      </c>
      <c r="D768" s="6" t="s">
        <v>1062</v>
      </c>
      <c r="E768" s="6" t="s">
        <v>15</v>
      </c>
      <c r="F768" s="10">
        <v>5796718</v>
      </c>
      <c r="G768" s="6">
        <v>3</v>
      </c>
      <c r="H768" s="6" t="s">
        <v>16</v>
      </c>
      <c r="I768" s="6" t="s">
        <v>17</v>
      </c>
      <c r="J768" s="6" t="s">
        <v>17</v>
      </c>
      <c r="K768" s="6" t="s">
        <v>18</v>
      </c>
      <c r="L768" s="6">
        <v>5500000</v>
      </c>
      <c r="M768" s="6" t="str">
        <f t="shared" si="11"/>
        <v>50L-80L</v>
      </c>
    </row>
    <row r="769" spans="1:13" x14ac:dyDescent="0.25">
      <c r="A769" s="6" t="s">
        <v>809</v>
      </c>
      <c r="B769" s="7">
        <v>46196.515520833331</v>
      </c>
      <c r="C769" s="6" t="s">
        <v>36</v>
      </c>
      <c r="D769" s="6" t="s">
        <v>1060</v>
      </c>
      <c r="E769" s="6" t="s">
        <v>15</v>
      </c>
      <c r="F769" s="10">
        <v>4200475</v>
      </c>
      <c r="G769" s="6">
        <v>4</v>
      </c>
      <c r="H769" s="6" t="s">
        <v>16</v>
      </c>
      <c r="I769" s="6" t="s">
        <v>17</v>
      </c>
      <c r="J769" s="6" t="s">
        <v>17</v>
      </c>
      <c r="K769" s="6" t="s">
        <v>24</v>
      </c>
      <c r="L769" s="6"/>
      <c r="M769" s="6" t="str">
        <f t="shared" si="11"/>
        <v>30L-50L</v>
      </c>
    </row>
    <row r="770" spans="1:13" x14ac:dyDescent="0.25">
      <c r="A770" s="6" t="s">
        <v>810</v>
      </c>
      <c r="B770" s="7">
        <v>46196.741736111115</v>
      </c>
      <c r="C770" s="6" t="s">
        <v>26</v>
      </c>
      <c r="D770" s="6" t="s">
        <v>21</v>
      </c>
      <c r="E770" s="6" t="s">
        <v>15</v>
      </c>
      <c r="F770" s="10">
        <v>8937840</v>
      </c>
      <c r="G770" s="6">
        <v>2</v>
      </c>
      <c r="H770" s="6" t="s">
        <v>16</v>
      </c>
      <c r="I770" s="6" t="s">
        <v>17</v>
      </c>
      <c r="J770" s="6" t="s">
        <v>17</v>
      </c>
      <c r="K770" s="6" t="s">
        <v>24</v>
      </c>
      <c r="L770" s="6"/>
      <c r="M770" s="6" t="str">
        <f t="shared" ref="M770:M833" si="12">IF(F770&lt;3000000,"Below 30L",IF(F770&lt;5000000,"30L-50L",IF(F770&lt;8000000,"50L-80L",IF(F770&lt;12000000,"80L-1.2Cr","Above 1.2Cr"))))</f>
        <v>80L-1.2Cr</v>
      </c>
    </row>
    <row r="771" spans="1:13" x14ac:dyDescent="0.25">
      <c r="A771" s="6" t="s">
        <v>811</v>
      </c>
      <c r="B771" s="7">
        <v>46196.967962962961</v>
      </c>
      <c r="C771" s="6" t="s">
        <v>36</v>
      </c>
      <c r="D771" s="6" t="s">
        <v>21</v>
      </c>
      <c r="E771" s="6" t="s">
        <v>22</v>
      </c>
      <c r="F771" s="10">
        <v>7346652</v>
      </c>
      <c r="G771" s="6">
        <v>5</v>
      </c>
      <c r="H771" s="6" t="s">
        <v>16</v>
      </c>
      <c r="I771" s="6" t="s">
        <v>17</v>
      </c>
      <c r="J771" s="6" t="s">
        <v>17</v>
      </c>
      <c r="K771" s="6" t="s">
        <v>18</v>
      </c>
      <c r="L771" s="6">
        <v>7400000</v>
      </c>
      <c r="M771" s="6" t="str">
        <f t="shared" si="12"/>
        <v>50L-80L</v>
      </c>
    </row>
    <row r="772" spans="1:13" x14ac:dyDescent="0.25">
      <c r="A772" s="6" t="s">
        <v>812</v>
      </c>
      <c r="B772" s="7">
        <v>46197.194189814814</v>
      </c>
      <c r="C772" s="6" t="s">
        <v>13</v>
      </c>
      <c r="D772" s="6" t="s">
        <v>1060</v>
      </c>
      <c r="E772" s="6" t="s">
        <v>15</v>
      </c>
      <c r="F772" s="10">
        <v>8480408</v>
      </c>
      <c r="G772" s="6">
        <v>1</v>
      </c>
      <c r="H772" s="6" t="s">
        <v>16</v>
      </c>
      <c r="I772" s="6" t="s">
        <v>17</v>
      </c>
      <c r="J772" s="6" t="s">
        <v>23</v>
      </c>
      <c r="K772" s="6" t="s">
        <v>24</v>
      </c>
      <c r="L772" s="6"/>
      <c r="M772" s="6" t="str">
        <f t="shared" si="12"/>
        <v>80L-1.2Cr</v>
      </c>
    </row>
    <row r="773" spans="1:13" x14ac:dyDescent="0.25">
      <c r="A773" s="6" t="s">
        <v>813</v>
      </c>
      <c r="B773" s="7">
        <v>46197.420416666668</v>
      </c>
      <c r="C773" s="6" t="s">
        <v>36</v>
      </c>
      <c r="D773" s="6" t="s">
        <v>1063</v>
      </c>
      <c r="E773" s="6" t="s">
        <v>15</v>
      </c>
      <c r="F773" s="10">
        <v>7301126</v>
      </c>
      <c r="G773" s="6">
        <v>1</v>
      </c>
      <c r="H773" s="6" t="s">
        <v>37</v>
      </c>
      <c r="I773" s="6" t="s">
        <v>23</v>
      </c>
      <c r="J773" s="6" t="s">
        <v>23</v>
      </c>
      <c r="K773" s="6" t="s">
        <v>28</v>
      </c>
      <c r="L773" s="6"/>
      <c r="M773" s="6" t="str">
        <f t="shared" si="12"/>
        <v>50L-80L</v>
      </c>
    </row>
    <row r="774" spans="1:13" x14ac:dyDescent="0.25">
      <c r="A774" s="6" t="s">
        <v>814</v>
      </c>
      <c r="B774" s="7">
        <v>46197.646643518521</v>
      </c>
      <c r="C774" s="6" t="s">
        <v>13</v>
      </c>
      <c r="D774" s="6" t="s">
        <v>1061</v>
      </c>
      <c r="E774" s="6" t="s">
        <v>27</v>
      </c>
      <c r="F774" s="10">
        <v>1595790</v>
      </c>
      <c r="G774" s="6">
        <v>2</v>
      </c>
      <c r="H774" s="6" t="s">
        <v>16</v>
      </c>
      <c r="I774" s="6" t="s">
        <v>17</v>
      </c>
      <c r="J774" s="6" t="s">
        <v>23</v>
      </c>
      <c r="K774" s="6" t="s">
        <v>24</v>
      </c>
      <c r="L774" s="6"/>
      <c r="M774" s="6" t="str">
        <f t="shared" si="12"/>
        <v>Below 30L</v>
      </c>
    </row>
    <row r="775" spans="1:13" x14ac:dyDescent="0.25">
      <c r="A775" s="6" t="s">
        <v>815</v>
      </c>
      <c r="B775" s="7">
        <v>46197.872870370367</v>
      </c>
      <c r="C775" s="6" t="s">
        <v>26</v>
      </c>
      <c r="D775" s="6" t="s">
        <v>1061</v>
      </c>
      <c r="E775" s="6" t="s">
        <v>15</v>
      </c>
      <c r="F775" s="10">
        <v>6268694</v>
      </c>
      <c r="G775" s="6">
        <v>1</v>
      </c>
      <c r="H775" s="6" t="s">
        <v>16</v>
      </c>
      <c r="I775" s="6" t="s">
        <v>17</v>
      </c>
      <c r="J775" s="6" t="s">
        <v>17</v>
      </c>
      <c r="K775" s="6" t="s">
        <v>24</v>
      </c>
      <c r="L775" s="6"/>
      <c r="M775" s="6" t="str">
        <f t="shared" si="12"/>
        <v>50L-80L</v>
      </c>
    </row>
    <row r="776" spans="1:13" x14ac:dyDescent="0.25">
      <c r="A776" s="6" t="s">
        <v>816</v>
      </c>
      <c r="B776" s="7">
        <v>46198.099097222221</v>
      </c>
      <c r="C776" s="6" t="s">
        <v>36</v>
      </c>
      <c r="D776" s="6" t="s">
        <v>1063</v>
      </c>
      <c r="E776" s="6" t="s">
        <v>15</v>
      </c>
      <c r="F776" s="10">
        <v>6265798</v>
      </c>
      <c r="G776" s="6">
        <v>1</v>
      </c>
      <c r="H776" s="6" t="s">
        <v>16</v>
      </c>
      <c r="I776" s="6" t="s">
        <v>17</v>
      </c>
      <c r="J776" s="6" t="s">
        <v>17</v>
      </c>
      <c r="K776" s="6" t="s">
        <v>18</v>
      </c>
      <c r="L776" s="6">
        <v>5950000</v>
      </c>
      <c r="M776" s="6" t="str">
        <f t="shared" si="12"/>
        <v>50L-80L</v>
      </c>
    </row>
    <row r="777" spans="1:13" x14ac:dyDescent="0.25">
      <c r="A777" s="6" t="s">
        <v>817</v>
      </c>
      <c r="B777" s="7">
        <v>46198.325324074074</v>
      </c>
      <c r="C777" s="6" t="s">
        <v>13</v>
      </c>
      <c r="D777" s="6" t="s">
        <v>21</v>
      </c>
      <c r="E777" s="6" t="s">
        <v>15</v>
      </c>
      <c r="F777" s="10">
        <v>6259449</v>
      </c>
      <c r="G777" s="6">
        <v>1</v>
      </c>
      <c r="H777" s="6" t="s">
        <v>16</v>
      </c>
      <c r="I777" s="6" t="s">
        <v>17</v>
      </c>
      <c r="J777" s="6" t="s">
        <v>17</v>
      </c>
      <c r="K777" s="6" t="s">
        <v>18</v>
      </c>
      <c r="L777" s="6">
        <v>5750000</v>
      </c>
      <c r="M777" s="6" t="str">
        <f t="shared" si="12"/>
        <v>50L-80L</v>
      </c>
    </row>
    <row r="778" spans="1:13" x14ac:dyDescent="0.25">
      <c r="A778" s="6" t="s">
        <v>818</v>
      </c>
      <c r="B778" s="7">
        <v>46198.551550925928</v>
      </c>
      <c r="C778" s="6" t="s">
        <v>26</v>
      </c>
      <c r="D778" s="6" t="s">
        <v>1062</v>
      </c>
      <c r="E778" s="6" t="s">
        <v>15</v>
      </c>
      <c r="F778" s="10">
        <v>7908278</v>
      </c>
      <c r="G778" s="6">
        <v>4</v>
      </c>
      <c r="H778" s="6" t="s">
        <v>16</v>
      </c>
      <c r="I778" s="6" t="s">
        <v>23</v>
      </c>
      <c r="J778" s="6" t="s">
        <v>23</v>
      </c>
      <c r="K778" s="6" t="s">
        <v>28</v>
      </c>
      <c r="L778" s="6"/>
      <c r="M778" s="6" t="str">
        <f t="shared" si="12"/>
        <v>50L-80L</v>
      </c>
    </row>
    <row r="779" spans="1:13" x14ac:dyDescent="0.25">
      <c r="A779" s="6" t="s">
        <v>819</v>
      </c>
      <c r="B779" s="7">
        <v>46198.777777777781</v>
      </c>
      <c r="C779" s="6" t="s">
        <v>30</v>
      </c>
      <c r="D779" s="6" t="s">
        <v>21</v>
      </c>
      <c r="E779" s="6" t="s">
        <v>15</v>
      </c>
      <c r="F779" s="10">
        <v>3279720</v>
      </c>
      <c r="G779" s="6">
        <v>1</v>
      </c>
      <c r="H779" s="6" t="s">
        <v>37</v>
      </c>
      <c r="I779" s="6" t="s">
        <v>23</v>
      </c>
      <c r="J779" s="6" t="s">
        <v>23</v>
      </c>
      <c r="K779" s="6" t="s">
        <v>28</v>
      </c>
      <c r="L779" s="6"/>
      <c r="M779" s="6" t="str">
        <f t="shared" si="12"/>
        <v>30L-50L</v>
      </c>
    </row>
    <row r="780" spans="1:13" x14ac:dyDescent="0.25">
      <c r="A780" s="6" t="s">
        <v>820</v>
      </c>
      <c r="B780" s="7">
        <v>46199.004004629627</v>
      </c>
      <c r="C780" s="6" t="s">
        <v>30</v>
      </c>
      <c r="D780" s="6" t="s">
        <v>1059</v>
      </c>
      <c r="E780" s="6" t="s">
        <v>15</v>
      </c>
      <c r="F780" s="10">
        <v>4131960</v>
      </c>
      <c r="G780" s="6">
        <v>4</v>
      </c>
      <c r="H780" s="6" t="s">
        <v>37</v>
      </c>
      <c r="I780" s="6" t="s">
        <v>17</v>
      </c>
      <c r="J780" s="6" t="s">
        <v>23</v>
      </c>
      <c r="K780" s="6" t="s">
        <v>24</v>
      </c>
      <c r="L780" s="6"/>
      <c r="M780" s="6" t="str">
        <f t="shared" si="12"/>
        <v>30L-50L</v>
      </c>
    </row>
    <row r="781" spans="1:13" x14ac:dyDescent="0.25">
      <c r="A781" s="6" t="s">
        <v>821</v>
      </c>
      <c r="B781" s="7">
        <v>46199.230231481481</v>
      </c>
      <c r="C781" s="6" t="s">
        <v>30</v>
      </c>
      <c r="D781" s="6" t="s">
        <v>1063</v>
      </c>
      <c r="E781" s="6" t="s">
        <v>15</v>
      </c>
      <c r="F781" s="10">
        <v>5331869</v>
      </c>
      <c r="G781" s="6">
        <v>1</v>
      </c>
      <c r="H781" s="6" t="s">
        <v>37</v>
      </c>
      <c r="I781" s="6" t="s">
        <v>17</v>
      </c>
      <c r="J781" s="6" t="s">
        <v>23</v>
      </c>
      <c r="K781" s="6" t="s">
        <v>24</v>
      </c>
      <c r="L781" s="6"/>
      <c r="M781" s="6" t="str">
        <f t="shared" si="12"/>
        <v>50L-80L</v>
      </c>
    </row>
    <row r="782" spans="1:13" x14ac:dyDescent="0.25">
      <c r="A782" s="6" t="s">
        <v>822</v>
      </c>
      <c r="B782" s="7">
        <v>46199.456458333334</v>
      </c>
      <c r="C782" s="6" t="s">
        <v>30</v>
      </c>
      <c r="D782" s="6" t="s">
        <v>1059</v>
      </c>
      <c r="E782" s="6" t="s">
        <v>15</v>
      </c>
      <c r="F782" s="10">
        <v>3022490</v>
      </c>
      <c r="G782" s="6">
        <v>5</v>
      </c>
      <c r="H782" s="6" t="s">
        <v>16</v>
      </c>
      <c r="I782" s="6" t="s">
        <v>17</v>
      </c>
      <c r="J782" s="6" t="s">
        <v>23</v>
      </c>
      <c r="K782" s="6" t="s">
        <v>24</v>
      </c>
      <c r="L782" s="6"/>
      <c r="M782" s="6" t="str">
        <f t="shared" si="12"/>
        <v>30L-50L</v>
      </c>
    </row>
    <row r="783" spans="1:13" x14ac:dyDescent="0.25">
      <c r="A783" s="6" t="s">
        <v>823</v>
      </c>
      <c r="B783" s="7">
        <v>46199.682685185187</v>
      </c>
      <c r="C783" s="6" t="s">
        <v>20</v>
      </c>
      <c r="D783" s="6" t="s">
        <v>1061</v>
      </c>
      <c r="E783" s="6" t="s">
        <v>27</v>
      </c>
      <c r="F783" s="10">
        <v>2105108</v>
      </c>
      <c r="G783" s="6">
        <v>4</v>
      </c>
      <c r="H783" s="6" t="s">
        <v>16</v>
      </c>
      <c r="I783" s="6" t="s">
        <v>17</v>
      </c>
      <c r="J783" s="6" t="s">
        <v>17</v>
      </c>
      <c r="K783" s="6" t="s">
        <v>24</v>
      </c>
      <c r="L783" s="6"/>
      <c r="M783" s="6" t="str">
        <f t="shared" si="12"/>
        <v>Below 30L</v>
      </c>
    </row>
    <row r="784" spans="1:13" x14ac:dyDescent="0.25">
      <c r="A784" s="6" t="s">
        <v>824</v>
      </c>
      <c r="B784" s="7">
        <v>46199.908912037034</v>
      </c>
      <c r="C784" s="6" t="s">
        <v>26</v>
      </c>
      <c r="D784" s="6" t="s">
        <v>1060</v>
      </c>
      <c r="E784" s="6" t="s">
        <v>27</v>
      </c>
      <c r="F784" s="10">
        <v>3001540</v>
      </c>
      <c r="G784" s="6">
        <v>1</v>
      </c>
      <c r="H784" s="6" t="s">
        <v>37</v>
      </c>
      <c r="I784" s="6" t="s">
        <v>23</v>
      </c>
      <c r="J784" s="6" t="s">
        <v>23</v>
      </c>
      <c r="K784" s="6" t="s">
        <v>28</v>
      </c>
      <c r="L784" s="6"/>
      <c r="M784" s="6" t="str">
        <f t="shared" si="12"/>
        <v>30L-50L</v>
      </c>
    </row>
    <row r="785" spans="1:13" x14ac:dyDescent="0.25">
      <c r="A785" s="6" t="s">
        <v>825</v>
      </c>
      <c r="B785" s="7">
        <v>46200.135138888887</v>
      </c>
      <c r="C785" s="6" t="s">
        <v>26</v>
      </c>
      <c r="D785" s="6" t="s">
        <v>1062</v>
      </c>
      <c r="E785" s="6" t="s">
        <v>22</v>
      </c>
      <c r="F785" s="10">
        <v>8812580</v>
      </c>
      <c r="G785" s="6">
        <v>4</v>
      </c>
      <c r="H785" s="6" t="s">
        <v>16</v>
      </c>
      <c r="I785" s="6" t="s">
        <v>17</v>
      </c>
      <c r="J785" s="6" t="s">
        <v>23</v>
      </c>
      <c r="K785" s="6" t="s">
        <v>24</v>
      </c>
      <c r="L785" s="6"/>
      <c r="M785" s="6" t="str">
        <f t="shared" si="12"/>
        <v>80L-1.2Cr</v>
      </c>
    </row>
    <row r="786" spans="1:13" x14ac:dyDescent="0.25">
      <c r="A786" s="6" t="s">
        <v>826</v>
      </c>
      <c r="B786" s="7">
        <v>46200.36136574074</v>
      </c>
      <c r="C786" s="6" t="s">
        <v>13</v>
      </c>
      <c r="D786" s="6" t="s">
        <v>1062</v>
      </c>
      <c r="E786" s="6" t="s">
        <v>27</v>
      </c>
      <c r="F786" s="10">
        <v>3063966</v>
      </c>
      <c r="G786" s="6">
        <v>3</v>
      </c>
      <c r="H786" s="6" t="s">
        <v>16</v>
      </c>
      <c r="I786" s="6" t="s">
        <v>17</v>
      </c>
      <c r="J786" s="6" t="s">
        <v>17</v>
      </c>
      <c r="K786" s="6" t="s">
        <v>24</v>
      </c>
      <c r="L786" s="6"/>
      <c r="M786" s="6" t="str">
        <f t="shared" si="12"/>
        <v>30L-50L</v>
      </c>
    </row>
    <row r="787" spans="1:13" x14ac:dyDescent="0.25">
      <c r="A787" s="6" t="s">
        <v>827</v>
      </c>
      <c r="B787" s="7">
        <v>46200.587592592594</v>
      </c>
      <c r="C787" s="6" t="s">
        <v>33</v>
      </c>
      <c r="D787" s="6" t="s">
        <v>1061</v>
      </c>
      <c r="E787" s="6" t="s">
        <v>15</v>
      </c>
      <c r="F787" s="10">
        <v>4380642</v>
      </c>
      <c r="G787" s="6">
        <v>4</v>
      </c>
      <c r="H787" s="6" t="s">
        <v>16</v>
      </c>
      <c r="I787" s="6" t="s">
        <v>17</v>
      </c>
      <c r="J787" s="6" t="s">
        <v>23</v>
      </c>
      <c r="K787" s="6" t="s">
        <v>24</v>
      </c>
      <c r="L787" s="6"/>
      <c r="M787" s="6" t="str">
        <f t="shared" si="12"/>
        <v>30L-50L</v>
      </c>
    </row>
    <row r="788" spans="1:13" x14ac:dyDescent="0.25">
      <c r="A788" s="6" t="s">
        <v>828</v>
      </c>
      <c r="B788" s="7">
        <v>46200.813819444447</v>
      </c>
      <c r="C788" s="6" t="s">
        <v>30</v>
      </c>
      <c r="D788" s="6" t="s">
        <v>1062</v>
      </c>
      <c r="E788" s="6" t="s">
        <v>27</v>
      </c>
      <c r="F788" s="10">
        <v>2691890</v>
      </c>
      <c r="G788" s="6">
        <v>3</v>
      </c>
      <c r="H788" s="6" t="s">
        <v>16</v>
      </c>
      <c r="I788" s="6" t="s">
        <v>17</v>
      </c>
      <c r="J788" s="6" t="s">
        <v>17</v>
      </c>
      <c r="K788" s="6" t="s">
        <v>18</v>
      </c>
      <c r="L788" s="6">
        <v>2700000</v>
      </c>
      <c r="M788" s="6" t="str">
        <f t="shared" si="12"/>
        <v>Below 30L</v>
      </c>
    </row>
    <row r="789" spans="1:13" x14ac:dyDescent="0.25">
      <c r="A789" s="6" t="s">
        <v>829</v>
      </c>
      <c r="B789" s="7">
        <v>46201.040034722224</v>
      </c>
      <c r="C789" s="6" t="s">
        <v>20</v>
      </c>
      <c r="D789" s="6" t="s">
        <v>1062</v>
      </c>
      <c r="E789" s="6" t="s">
        <v>15</v>
      </c>
      <c r="F789" s="10">
        <v>3795379</v>
      </c>
      <c r="G789" s="6">
        <v>3</v>
      </c>
      <c r="H789" s="6" t="s">
        <v>37</v>
      </c>
      <c r="I789" s="6" t="s">
        <v>17</v>
      </c>
      <c r="J789" s="6" t="s">
        <v>23</v>
      </c>
      <c r="K789" s="6" t="s">
        <v>24</v>
      </c>
      <c r="L789" s="6"/>
      <c r="M789" s="6" t="str">
        <f t="shared" si="12"/>
        <v>30L-50L</v>
      </c>
    </row>
    <row r="790" spans="1:13" x14ac:dyDescent="0.25">
      <c r="A790" s="6" t="s">
        <v>830</v>
      </c>
      <c r="B790" s="7">
        <v>46201.266261574077</v>
      </c>
      <c r="C790" s="6" t="s">
        <v>20</v>
      </c>
      <c r="D790" s="6" t="s">
        <v>1059</v>
      </c>
      <c r="E790" s="6" t="s">
        <v>27</v>
      </c>
      <c r="F790" s="10">
        <v>2804397</v>
      </c>
      <c r="G790" s="6">
        <v>4</v>
      </c>
      <c r="H790" s="6" t="s">
        <v>16</v>
      </c>
      <c r="I790" s="6" t="s">
        <v>23</v>
      </c>
      <c r="J790" s="6" t="s">
        <v>23</v>
      </c>
      <c r="K790" s="6" t="s">
        <v>28</v>
      </c>
      <c r="L790" s="6"/>
      <c r="M790" s="6" t="str">
        <f t="shared" si="12"/>
        <v>Below 30L</v>
      </c>
    </row>
    <row r="791" spans="1:13" x14ac:dyDescent="0.25">
      <c r="A791" s="6" t="s">
        <v>831</v>
      </c>
      <c r="B791" s="7">
        <v>46201.492488425924</v>
      </c>
      <c r="C791" s="6" t="s">
        <v>33</v>
      </c>
      <c r="D791" s="6" t="s">
        <v>1060</v>
      </c>
      <c r="E791" s="6" t="s">
        <v>27</v>
      </c>
      <c r="F791" s="10">
        <v>2406395</v>
      </c>
      <c r="G791" s="6">
        <v>2</v>
      </c>
      <c r="H791" s="6" t="s">
        <v>37</v>
      </c>
      <c r="I791" s="6" t="s">
        <v>17</v>
      </c>
      <c r="J791" s="6" t="s">
        <v>23</v>
      </c>
      <c r="K791" s="6" t="s">
        <v>24</v>
      </c>
      <c r="L791" s="6"/>
      <c r="M791" s="6" t="str">
        <f t="shared" si="12"/>
        <v>Below 30L</v>
      </c>
    </row>
    <row r="792" spans="1:13" x14ac:dyDescent="0.25">
      <c r="A792" s="6" t="s">
        <v>832</v>
      </c>
      <c r="B792" s="7">
        <v>46201.718715277777</v>
      </c>
      <c r="C792" s="6" t="s">
        <v>13</v>
      </c>
      <c r="D792" s="6" t="s">
        <v>1059</v>
      </c>
      <c r="E792" s="6" t="s">
        <v>22</v>
      </c>
      <c r="F792" s="10">
        <v>6336430</v>
      </c>
      <c r="G792" s="6">
        <v>1</v>
      </c>
      <c r="H792" s="6" t="s">
        <v>16</v>
      </c>
      <c r="I792" s="6" t="s">
        <v>23</v>
      </c>
      <c r="J792" s="6" t="s">
        <v>17</v>
      </c>
      <c r="K792" s="6" t="s">
        <v>18</v>
      </c>
      <c r="L792" s="6">
        <v>6350000</v>
      </c>
      <c r="M792" s="6" t="str">
        <f t="shared" si="12"/>
        <v>50L-80L</v>
      </c>
    </row>
    <row r="793" spans="1:13" x14ac:dyDescent="0.25">
      <c r="A793" s="6" t="s">
        <v>833</v>
      </c>
      <c r="B793" s="7">
        <v>46201.94494212963</v>
      </c>
      <c r="C793" s="6" t="s">
        <v>30</v>
      </c>
      <c r="D793" s="6" t="s">
        <v>1062</v>
      </c>
      <c r="E793" s="6" t="s">
        <v>27</v>
      </c>
      <c r="F793" s="10">
        <v>6944607</v>
      </c>
      <c r="G793" s="6">
        <v>4</v>
      </c>
      <c r="H793" s="6" t="s">
        <v>16</v>
      </c>
      <c r="I793" s="6" t="s">
        <v>23</v>
      </c>
      <c r="J793" s="6" t="s">
        <v>23</v>
      </c>
      <c r="K793" s="6" t="s">
        <v>28</v>
      </c>
      <c r="L793" s="6"/>
      <c r="M793" s="6" t="str">
        <f t="shared" si="12"/>
        <v>50L-80L</v>
      </c>
    </row>
    <row r="794" spans="1:13" x14ac:dyDescent="0.25">
      <c r="A794" s="6" t="s">
        <v>834</v>
      </c>
      <c r="B794" s="7">
        <v>46202.171168981484</v>
      </c>
      <c r="C794" s="6" t="s">
        <v>20</v>
      </c>
      <c r="D794" s="6" t="s">
        <v>1060</v>
      </c>
      <c r="E794" s="6" t="s">
        <v>22</v>
      </c>
      <c r="F794" s="10">
        <v>10807601</v>
      </c>
      <c r="G794" s="6">
        <v>2</v>
      </c>
      <c r="H794" s="6" t="s">
        <v>37</v>
      </c>
      <c r="I794" s="6" t="s">
        <v>23</v>
      </c>
      <c r="J794" s="6" t="s">
        <v>23</v>
      </c>
      <c r="K794" s="6" t="s">
        <v>28</v>
      </c>
      <c r="L794" s="6"/>
      <c r="M794" s="6" t="str">
        <f t="shared" si="12"/>
        <v>80L-1.2Cr</v>
      </c>
    </row>
    <row r="795" spans="1:13" x14ac:dyDescent="0.25">
      <c r="A795" s="6" t="s">
        <v>835</v>
      </c>
      <c r="B795" s="7">
        <v>46202.39739583333</v>
      </c>
      <c r="C795" s="6" t="s">
        <v>30</v>
      </c>
      <c r="D795" s="6" t="s">
        <v>1062</v>
      </c>
      <c r="E795" s="6" t="s">
        <v>15</v>
      </c>
      <c r="F795" s="10">
        <v>5684686</v>
      </c>
      <c r="G795" s="6">
        <v>2</v>
      </c>
      <c r="H795" s="6" t="s">
        <v>16</v>
      </c>
      <c r="I795" s="6" t="s">
        <v>17</v>
      </c>
      <c r="J795" s="6" t="s">
        <v>17</v>
      </c>
      <c r="K795" s="6" t="s">
        <v>24</v>
      </c>
      <c r="L795" s="6"/>
      <c r="M795" s="6" t="str">
        <f t="shared" si="12"/>
        <v>50L-80L</v>
      </c>
    </row>
    <row r="796" spans="1:13" x14ac:dyDescent="0.25">
      <c r="A796" s="6" t="s">
        <v>836</v>
      </c>
      <c r="B796" s="7">
        <v>46202.623622685183</v>
      </c>
      <c r="C796" s="6" t="s">
        <v>13</v>
      </c>
      <c r="D796" s="6" t="s">
        <v>1059</v>
      </c>
      <c r="E796" s="6" t="s">
        <v>15</v>
      </c>
      <c r="F796" s="10">
        <v>5350983</v>
      </c>
      <c r="G796" s="6">
        <v>1</v>
      </c>
      <c r="H796" s="6" t="s">
        <v>16</v>
      </c>
      <c r="I796" s="6" t="s">
        <v>17</v>
      </c>
      <c r="J796" s="6" t="s">
        <v>23</v>
      </c>
      <c r="K796" s="6" t="s">
        <v>24</v>
      </c>
      <c r="L796" s="6"/>
      <c r="M796" s="6" t="str">
        <f t="shared" si="12"/>
        <v>50L-80L</v>
      </c>
    </row>
    <row r="797" spans="1:13" x14ac:dyDescent="0.25">
      <c r="A797" s="6" t="s">
        <v>837</v>
      </c>
      <c r="B797" s="7">
        <v>46202.849849537037</v>
      </c>
      <c r="C797" s="6" t="s">
        <v>36</v>
      </c>
      <c r="D797" s="6" t="s">
        <v>1059</v>
      </c>
      <c r="E797" s="6" t="s">
        <v>22</v>
      </c>
      <c r="F797" s="10">
        <v>10972478</v>
      </c>
      <c r="G797" s="6">
        <v>2</v>
      </c>
      <c r="H797" s="6" t="s">
        <v>16</v>
      </c>
      <c r="I797" s="6" t="s">
        <v>23</v>
      </c>
      <c r="J797" s="6" t="s">
        <v>23</v>
      </c>
      <c r="K797" s="6" t="s">
        <v>28</v>
      </c>
      <c r="L797" s="6"/>
      <c r="M797" s="6" t="str">
        <f t="shared" si="12"/>
        <v>80L-1.2Cr</v>
      </c>
    </row>
    <row r="798" spans="1:13" x14ac:dyDescent="0.25">
      <c r="A798" s="6" t="s">
        <v>838</v>
      </c>
      <c r="B798" s="7">
        <v>46203.07607638889</v>
      </c>
      <c r="C798" s="6" t="s">
        <v>33</v>
      </c>
      <c r="D798" s="6" t="s">
        <v>1062</v>
      </c>
      <c r="E798" s="6" t="s">
        <v>15</v>
      </c>
      <c r="F798" s="10">
        <v>4187018</v>
      </c>
      <c r="G798" s="6">
        <v>6</v>
      </c>
      <c r="H798" s="6" t="s">
        <v>16</v>
      </c>
      <c r="I798" s="6" t="s">
        <v>23</v>
      </c>
      <c r="J798" s="6" t="s">
        <v>23</v>
      </c>
      <c r="K798" s="6" t="s">
        <v>28</v>
      </c>
      <c r="L798" s="6"/>
      <c r="M798" s="6" t="str">
        <f t="shared" si="12"/>
        <v>30L-50L</v>
      </c>
    </row>
    <row r="799" spans="1:13" x14ac:dyDescent="0.25">
      <c r="A799" s="6" t="s">
        <v>839</v>
      </c>
      <c r="B799" s="7">
        <v>46203.302303240744</v>
      </c>
      <c r="C799" s="6" t="s">
        <v>20</v>
      </c>
      <c r="D799" s="6" t="s">
        <v>1059</v>
      </c>
      <c r="E799" s="6" t="s">
        <v>22</v>
      </c>
      <c r="F799" s="10">
        <v>11717676</v>
      </c>
      <c r="G799" s="6">
        <v>2</v>
      </c>
      <c r="H799" s="6" t="s">
        <v>37</v>
      </c>
      <c r="I799" s="6" t="s">
        <v>17</v>
      </c>
      <c r="J799" s="6" t="s">
        <v>23</v>
      </c>
      <c r="K799" s="6" t="s">
        <v>24</v>
      </c>
      <c r="L799" s="6"/>
      <c r="M799" s="6" t="str">
        <f t="shared" si="12"/>
        <v>80L-1.2Cr</v>
      </c>
    </row>
    <row r="800" spans="1:13" x14ac:dyDescent="0.25">
      <c r="A800" s="6" t="s">
        <v>840</v>
      </c>
      <c r="B800" s="7">
        <v>46203.52853009259</v>
      </c>
      <c r="C800" s="6" t="s">
        <v>30</v>
      </c>
      <c r="D800" s="6" t="s">
        <v>1059</v>
      </c>
      <c r="E800" s="6" t="s">
        <v>27</v>
      </c>
      <c r="F800" s="10">
        <v>4144338</v>
      </c>
      <c r="G800" s="6">
        <v>2</v>
      </c>
      <c r="H800" s="6" t="s">
        <v>16</v>
      </c>
      <c r="I800" s="6" t="s">
        <v>23</v>
      </c>
      <c r="J800" s="6" t="s">
        <v>23</v>
      </c>
      <c r="K800" s="6" t="s">
        <v>28</v>
      </c>
      <c r="L800" s="6"/>
      <c r="M800" s="6" t="str">
        <f t="shared" si="12"/>
        <v>30L-50L</v>
      </c>
    </row>
    <row r="801" spans="1:13" x14ac:dyDescent="0.25">
      <c r="A801" s="6" t="s">
        <v>841</v>
      </c>
      <c r="B801" s="7">
        <v>46203.754756944443</v>
      </c>
      <c r="C801" s="6" t="s">
        <v>33</v>
      </c>
      <c r="D801" s="6" t="s">
        <v>1059</v>
      </c>
      <c r="E801" s="6" t="s">
        <v>15</v>
      </c>
      <c r="F801" s="10">
        <v>4153276</v>
      </c>
      <c r="G801" s="6">
        <v>3</v>
      </c>
      <c r="H801" s="6" t="s">
        <v>37</v>
      </c>
      <c r="I801" s="6" t="s">
        <v>23</v>
      </c>
      <c r="J801" s="6" t="s">
        <v>23</v>
      </c>
      <c r="K801" s="6" t="s">
        <v>28</v>
      </c>
      <c r="L801" s="6"/>
      <c r="M801" s="6" t="str">
        <f t="shared" si="12"/>
        <v>30L-50L</v>
      </c>
    </row>
    <row r="802" spans="1:13" x14ac:dyDescent="0.25">
      <c r="A802" s="6" t="s">
        <v>842</v>
      </c>
      <c r="B802" s="7">
        <v>46203.980983796297</v>
      </c>
      <c r="C802" s="6" t="s">
        <v>30</v>
      </c>
      <c r="D802" s="6" t="s">
        <v>1061</v>
      </c>
      <c r="E802" s="6" t="s">
        <v>22</v>
      </c>
      <c r="F802" s="10">
        <v>6573881</v>
      </c>
      <c r="G802" s="6">
        <v>4</v>
      </c>
      <c r="H802" s="6" t="s">
        <v>37</v>
      </c>
      <c r="I802" s="6" t="s">
        <v>23</v>
      </c>
      <c r="J802" s="6" t="s">
        <v>23</v>
      </c>
      <c r="K802" s="6" t="s">
        <v>28</v>
      </c>
      <c r="L802" s="6"/>
      <c r="M802" s="6" t="str">
        <f t="shared" si="12"/>
        <v>50L-80L</v>
      </c>
    </row>
    <row r="803" spans="1:13" x14ac:dyDescent="0.25">
      <c r="A803" s="6" t="s">
        <v>843</v>
      </c>
      <c r="B803" s="7">
        <v>46204.20721064815</v>
      </c>
      <c r="C803" s="6" t="s">
        <v>13</v>
      </c>
      <c r="D803" s="6" t="s">
        <v>1062</v>
      </c>
      <c r="E803" s="6" t="s">
        <v>27</v>
      </c>
      <c r="F803" s="10">
        <v>7102362</v>
      </c>
      <c r="G803" s="6">
        <v>2</v>
      </c>
      <c r="H803" s="6" t="s">
        <v>16</v>
      </c>
      <c r="I803" s="6" t="s">
        <v>23</v>
      </c>
      <c r="J803" s="6" t="s">
        <v>23</v>
      </c>
      <c r="K803" s="6" t="s">
        <v>28</v>
      </c>
      <c r="L803" s="6"/>
      <c r="M803" s="6" t="str">
        <f t="shared" si="12"/>
        <v>50L-80L</v>
      </c>
    </row>
    <row r="804" spans="1:13" x14ac:dyDescent="0.25">
      <c r="A804" s="6" t="s">
        <v>844</v>
      </c>
      <c r="B804" s="7">
        <v>46204.433437500003</v>
      </c>
      <c r="C804" s="6" t="s">
        <v>20</v>
      </c>
      <c r="D804" s="6" t="s">
        <v>21</v>
      </c>
      <c r="E804" s="6" t="s">
        <v>27</v>
      </c>
      <c r="F804" s="10">
        <v>2817931</v>
      </c>
      <c r="G804" s="6">
        <v>2</v>
      </c>
      <c r="H804" s="6" t="s">
        <v>37</v>
      </c>
      <c r="I804" s="6" t="s">
        <v>23</v>
      </c>
      <c r="J804" s="6" t="s">
        <v>23</v>
      </c>
      <c r="K804" s="6" t="s">
        <v>28</v>
      </c>
      <c r="L804" s="6"/>
      <c r="M804" s="6" t="str">
        <f t="shared" si="12"/>
        <v>Below 30L</v>
      </c>
    </row>
    <row r="805" spans="1:13" x14ac:dyDescent="0.25">
      <c r="A805" s="6" t="s">
        <v>845</v>
      </c>
      <c r="B805" s="7">
        <v>46204.65966435185</v>
      </c>
      <c r="C805" s="6" t="s">
        <v>30</v>
      </c>
      <c r="D805" s="6" t="s">
        <v>21</v>
      </c>
      <c r="E805" s="6" t="s">
        <v>27</v>
      </c>
      <c r="F805" s="10">
        <v>2141621</v>
      </c>
      <c r="G805" s="6">
        <v>5</v>
      </c>
      <c r="H805" s="6" t="s">
        <v>16</v>
      </c>
      <c r="I805" s="6" t="s">
        <v>17</v>
      </c>
      <c r="J805" s="6" t="s">
        <v>23</v>
      </c>
      <c r="K805" s="6" t="s">
        <v>24</v>
      </c>
      <c r="L805" s="6"/>
      <c r="M805" s="6" t="str">
        <f t="shared" si="12"/>
        <v>Below 30L</v>
      </c>
    </row>
    <row r="806" spans="1:13" x14ac:dyDescent="0.25">
      <c r="A806" s="6" t="s">
        <v>846</v>
      </c>
      <c r="B806" s="7">
        <v>46204.885891203703</v>
      </c>
      <c r="C806" s="6" t="s">
        <v>20</v>
      </c>
      <c r="D806" s="6" t="s">
        <v>21</v>
      </c>
      <c r="E806" s="6" t="s">
        <v>15</v>
      </c>
      <c r="F806" s="10">
        <v>5757362</v>
      </c>
      <c r="G806" s="6">
        <v>3</v>
      </c>
      <c r="H806" s="6" t="s">
        <v>16</v>
      </c>
      <c r="I806" s="6" t="s">
        <v>23</v>
      </c>
      <c r="J806" s="6" t="s">
        <v>17</v>
      </c>
      <c r="K806" s="6" t="s">
        <v>18</v>
      </c>
      <c r="L806" s="6">
        <v>5600000</v>
      </c>
      <c r="M806" s="6" t="str">
        <f t="shared" si="12"/>
        <v>50L-80L</v>
      </c>
    </row>
    <row r="807" spans="1:13" x14ac:dyDescent="0.25">
      <c r="A807" s="6" t="s">
        <v>847</v>
      </c>
      <c r="B807" s="7">
        <v>46205.11210648148</v>
      </c>
      <c r="C807" s="6" t="s">
        <v>36</v>
      </c>
      <c r="D807" s="6" t="s">
        <v>1063</v>
      </c>
      <c r="E807" s="6" t="s">
        <v>27</v>
      </c>
      <c r="F807" s="10">
        <v>4676645</v>
      </c>
      <c r="G807" s="6">
        <v>1</v>
      </c>
      <c r="H807" s="6" t="s">
        <v>16</v>
      </c>
      <c r="I807" s="6" t="s">
        <v>23</v>
      </c>
      <c r="J807" s="6" t="s">
        <v>23</v>
      </c>
      <c r="K807" s="6" t="s">
        <v>28</v>
      </c>
      <c r="L807" s="6"/>
      <c r="M807" s="6" t="str">
        <f t="shared" si="12"/>
        <v>30L-50L</v>
      </c>
    </row>
    <row r="808" spans="1:13" x14ac:dyDescent="0.25">
      <c r="A808" s="6" t="s">
        <v>848</v>
      </c>
      <c r="B808" s="7">
        <v>46205.338333333333</v>
      </c>
      <c r="C808" s="6" t="s">
        <v>33</v>
      </c>
      <c r="D808" s="6" t="s">
        <v>1062</v>
      </c>
      <c r="E808" s="6" t="s">
        <v>22</v>
      </c>
      <c r="F808" s="10">
        <v>8293673</v>
      </c>
      <c r="G808" s="6">
        <v>1</v>
      </c>
      <c r="H808" s="6" t="s">
        <v>16</v>
      </c>
      <c r="I808" s="6" t="s">
        <v>23</v>
      </c>
      <c r="J808" s="6" t="s">
        <v>17</v>
      </c>
      <c r="K808" s="6" t="s">
        <v>18</v>
      </c>
      <c r="L808" s="6">
        <v>8200000</v>
      </c>
      <c r="M808" s="6" t="str">
        <f t="shared" si="12"/>
        <v>80L-1.2Cr</v>
      </c>
    </row>
    <row r="809" spans="1:13" x14ac:dyDescent="0.25">
      <c r="A809" s="6" t="s">
        <v>849</v>
      </c>
      <c r="B809" s="7">
        <v>46205.564560185187</v>
      </c>
      <c r="C809" s="6" t="s">
        <v>33</v>
      </c>
      <c r="D809" s="6" t="s">
        <v>1059</v>
      </c>
      <c r="E809" s="6" t="s">
        <v>15</v>
      </c>
      <c r="F809" s="10">
        <v>4949765</v>
      </c>
      <c r="G809" s="6">
        <v>2</v>
      </c>
      <c r="H809" s="6" t="s">
        <v>37</v>
      </c>
      <c r="I809" s="6" t="s">
        <v>17</v>
      </c>
      <c r="J809" s="6" t="s">
        <v>23</v>
      </c>
      <c r="K809" s="6" t="s">
        <v>24</v>
      </c>
      <c r="L809" s="6"/>
      <c r="M809" s="6" t="str">
        <f t="shared" si="12"/>
        <v>30L-50L</v>
      </c>
    </row>
    <row r="810" spans="1:13" x14ac:dyDescent="0.25">
      <c r="A810" s="6" t="s">
        <v>850</v>
      </c>
      <c r="B810" s="7">
        <v>46205.79078703704</v>
      </c>
      <c r="C810" s="6" t="s">
        <v>20</v>
      </c>
      <c r="D810" s="6" t="s">
        <v>1059</v>
      </c>
      <c r="E810" s="6" t="s">
        <v>15</v>
      </c>
      <c r="F810" s="10">
        <v>5598590</v>
      </c>
      <c r="G810" s="6">
        <v>1</v>
      </c>
      <c r="H810" s="6" t="s">
        <v>37</v>
      </c>
      <c r="I810" s="6" t="s">
        <v>23</v>
      </c>
      <c r="J810" s="6" t="s">
        <v>23</v>
      </c>
      <c r="K810" s="6" t="s">
        <v>28</v>
      </c>
      <c r="L810" s="6"/>
      <c r="M810" s="6" t="str">
        <f t="shared" si="12"/>
        <v>50L-80L</v>
      </c>
    </row>
    <row r="811" spans="1:13" x14ac:dyDescent="0.25">
      <c r="A811" s="6" t="s">
        <v>851</v>
      </c>
      <c r="B811" s="7">
        <v>46206.017013888886</v>
      </c>
      <c r="C811" s="6" t="s">
        <v>13</v>
      </c>
      <c r="D811" s="6" t="s">
        <v>1059</v>
      </c>
      <c r="E811" s="6" t="s">
        <v>22</v>
      </c>
      <c r="F811" s="10">
        <v>6426888</v>
      </c>
      <c r="G811" s="6">
        <v>2</v>
      </c>
      <c r="H811" s="6" t="s">
        <v>16</v>
      </c>
      <c r="I811" s="6" t="s">
        <v>17</v>
      </c>
      <c r="J811" s="6" t="s">
        <v>17</v>
      </c>
      <c r="K811" s="6" t="s">
        <v>24</v>
      </c>
      <c r="L811" s="6"/>
      <c r="M811" s="6" t="str">
        <f t="shared" si="12"/>
        <v>50L-80L</v>
      </c>
    </row>
    <row r="812" spans="1:13" x14ac:dyDescent="0.25">
      <c r="A812" s="6" t="s">
        <v>852</v>
      </c>
      <c r="B812" s="7">
        <v>46206.24324074074</v>
      </c>
      <c r="C812" s="6" t="s">
        <v>33</v>
      </c>
      <c r="D812" s="6" t="s">
        <v>1062</v>
      </c>
      <c r="E812" s="6" t="s">
        <v>15</v>
      </c>
      <c r="F812" s="10">
        <v>7410156</v>
      </c>
      <c r="G812" s="6">
        <v>5</v>
      </c>
      <c r="H812" s="6" t="s">
        <v>16</v>
      </c>
      <c r="I812" s="6" t="s">
        <v>23</v>
      </c>
      <c r="J812" s="6" t="s">
        <v>17</v>
      </c>
      <c r="K812" s="6" t="s">
        <v>18</v>
      </c>
      <c r="L812" s="6">
        <v>7750000</v>
      </c>
      <c r="M812" s="6" t="str">
        <f t="shared" si="12"/>
        <v>50L-80L</v>
      </c>
    </row>
    <row r="813" spans="1:13" x14ac:dyDescent="0.25">
      <c r="A813" s="6" t="s">
        <v>853</v>
      </c>
      <c r="B813" s="7">
        <v>46206.469467592593</v>
      </c>
      <c r="C813" s="6" t="s">
        <v>36</v>
      </c>
      <c r="D813" s="6" t="s">
        <v>1063</v>
      </c>
      <c r="E813" s="6" t="s">
        <v>22</v>
      </c>
      <c r="F813" s="10">
        <v>8763329</v>
      </c>
      <c r="G813" s="6">
        <v>1</v>
      </c>
      <c r="H813" s="6" t="s">
        <v>16</v>
      </c>
      <c r="I813" s="6" t="s">
        <v>17</v>
      </c>
      <c r="J813" s="6" t="s">
        <v>23</v>
      </c>
      <c r="K813" s="6" t="s">
        <v>18</v>
      </c>
      <c r="L813" s="6">
        <v>8750000</v>
      </c>
      <c r="M813" s="6" t="str">
        <f t="shared" si="12"/>
        <v>80L-1.2Cr</v>
      </c>
    </row>
    <row r="814" spans="1:13" x14ac:dyDescent="0.25">
      <c r="A814" s="6" t="s">
        <v>854</v>
      </c>
      <c r="B814" s="7">
        <v>46206.695694444446</v>
      </c>
      <c r="C814" s="6" t="s">
        <v>13</v>
      </c>
      <c r="D814" s="6" t="s">
        <v>1059</v>
      </c>
      <c r="E814" s="6" t="s">
        <v>22</v>
      </c>
      <c r="F814" s="10">
        <v>10228783</v>
      </c>
      <c r="G814" s="6">
        <v>4</v>
      </c>
      <c r="H814" s="6" t="s">
        <v>16</v>
      </c>
      <c r="I814" s="6" t="s">
        <v>23</v>
      </c>
      <c r="J814" s="6" t="s">
        <v>23</v>
      </c>
      <c r="K814" s="6" t="s">
        <v>28</v>
      </c>
      <c r="L814" s="6"/>
      <c r="M814" s="6" t="str">
        <f t="shared" si="12"/>
        <v>80L-1.2Cr</v>
      </c>
    </row>
    <row r="815" spans="1:13" x14ac:dyDescent="0.25">
      <c r="A815" s="6" t="s">
        <v>855</v>
      </c>
      <c r="B815" s="7">
        <v>46206.9219212963</v>
      </c>
      <c r="C815" s="6" t="s">
        <v>33</v>
      </c>
      <c r="D815" s="6" t="s">
        <v>1059</v>
      </c>
      <c r="E815" s="6" t="s">
        <v>15</v>
      </c>
      <c r="F815" s="10">
        <v>5292039</v>
      </c>
      <c r="G815" s="6">
        <v>2</v>
      </c>
      <c r="H815" s="6" t="s">
        <v>16</v>
      </c>
      <c r="I815" s="6" t="s">
        <v>17</v>
      </c>
      <c r="J815" s="6" t="s">
        <v>17</v>
      </c>
      <c r="K815" s="6" t="s">
        <v>18</v>
      </c>
      <c r="L815" s="6">
        <v>5300000</v>
      </c>
      <c r="M815" s="6" t="str">
        <f t="shared" si="12"/>
        <v>50L-80L</v>
      </c>
    </row>
    <row r="816" spans="1:13" x14ac:dyDescent="0.25">
      <c r="A816" s="6" t="s">
        <v>856</v>
      </c>
      <c r="B816" s="7">
        <v>46207.148148148146</v>
      </c>
      <c r="C816" s="6" t="s">
        <v>36</v>
      </c>
      <c r="D816" s="6" t="s">
        <v>1059</v>
      </c>
      <c r="E816" s="6" t="s">
        <v>22</v>
      </c>
      <c r="F816" s="10">
        <v>6614673</v>
      </c>
      <c r="G816" s="6">
        <v>4</v>
      </c>
      <c r="H816" s="6" t="s">
        <v>16</v>
      </c>
      <c r="I816" s="6" t="s">
        <v>17</v>
      </c>
      <c r="J816" s="6" t="s">
        <v>17</v>
      </c>
      <c r="K816" s="6" t="s">
        <v>24</v>
      </c>
      <c r="L816" s="6"/>
      <c r="M816" s="6" t="str">
        <f t="shared" si="12"/>
        <v>50L-80L</v>
      </c>
    </row>
    <row r="817" spans="1:13" x14ac:dyDescent="0.25">
      <c r="A817" s="6" t="s">
        <v>857</v>
      </c>
      <c r="B817" s="7">
        <v>46207.374374999999</v>
      </c>
      <c r="C817" s="6" t="s">
        <v>20</v>
      </c>
      <c r="D817" s="6" t="s">
        <v>1061</v>
      </c>
      <c r="E817" s="6" t="s">
        <v>22</v>
      </c>
      <c r="F817" s="10">
        <v>8755659</v>
      </c>
      <c r="G817" s="6">
        <v>4</v>
      </c>
      <c r="H817" s="6" t="s">
        <v>16</v>
      </c>
      <c r="I817" s="6" t="s">
        <v>17</v>
      </c>
      <c r="J817" s="6" t="s">
        <v>17</v>
      </c>
      <c r="K817" s="6" t="s">
        <v>18</v>
      </c>
      <c r="L817" s="6">
        <v>8150000</v>
      </c>
      <c r="M817" s="6" t="str">
        <f t="shared" si="12"/>
        <v>80L-1.2Cr</v>
      </c>
    </row>
    <row r="818" spans="1:13" x14ac:dyDescent="0.25">
      <c r="A818" s="6" t="s">
        <v>858</v>
      </c>
      <c r="B818" s="7">
        <v>46207.600601851853</v>
      </c>
      <c r="C818" s="6" t="s">
        <v>30</v>
      </c>
      <c r="D818" s="6" t="s">
        <v>21</v>
      </c>
      <c r="E818" s="6" t="s">
        <v>15</v>
      </c>
      <c r="F818" s="10">
        <v>5254086</v>
      </c>
      <c r="G818" s="6">
        <v>1</v>
      </c>
      <c r="H818" s="6" t="s">
        <v>37</v>
      </c>
      <c r="I818" s="6" t="s">
        <v>23</v>
      </c>
      <c r="J818" s="6" t="s">
        <v>23</v>
      </c>
      <c r="K818" s="6" t="s">
        <v>28</v>
      </c>
      <c r="L818" s="6"/>
      <c r="M818" s="6" t="str">
        <f t="shared" si="12"/>
        <v>50L-80L</v>
      </c>
    </row>
    <row r="819" spans="1:13" x14ac:dyDescent="0.25">
      <c r="A819" s="6" t="s">
        <v>859</v>
      </c>
      <c r="B819" s="7">
        <v>46207.826828703706</v>
      </c>
      <c r="C819" s="6" t="s">
        <v>26</v>
      </c>
      <c r="D819" s="6" t="s">
        <v>1063</v>
      </c>
      <c r="E819" s="6" t="s">
        <v>15</v>
      </c>
      <c r="F819" s="10">
        <v>3835488</v>
      </c>
      <c r="G819" s="6">
        <v>3</v>
      </c>
      <c r="H819" s="6" t="s">
        <v>16</v>
      </c>
      <c r="I819" s="6" t="s">
        <v>17</v>
      </c>
      <c r="J819" s="6" t="s">
        <v>23</v>
      </c>
      <c r="K819" s="6" t="s">
        <v>24</v>
      </c>
      <c r="L819" s="6"/>
      <c r="M819" s="6" t="str">
        <f t="shared" si="12"/>
        <v>30L-50L</v>
      </c>
    </row>
    <row r="820" spans="1:13" x14ac:dyDescent="0.25">
      <c r="A820" s="6" t="s">
        <v>860</v>
      </c>
      <c r="B820" s="7">
        <v>46208.053055555552</v>
      </c>
      <c r="C820" s="6" t="s">
        <v>13</v>
      </c>
      <c r="D820" s="6" t="s">
        <v>1062</v>
      </c>
      <c r="E820" s="6" t="s">
        <v>15</v>
      </c>
      <c r="F820" s="10">
        <v>4974719</v>
      </c>
      <c r="G820" s="6">
        <v>1</v>
      </c>
      <c r="H820" s="6" t="s">
        <v>37</v>
      </c>
      <c r="I820" s="6" t="s">
        <v>17</v>
      </c>
      <c r="J820" s="6" t="s">
        <v>23</v>
      </c>
      <c r="K820" s="6" t="s">
        <v>24</v>
      </c>
      <c r="L820" s="6"/>
      <c r="M820" s="6" t="str">
        <f t="shared" si="12"/>
        <v>30L-50L</v>
      </c>
    </row>
    <row r="821" spans="1:13" x14ac:dyDescent="0.25">
      <c r="A821" s="6" t="s">
        <v>861</v>
      </c>
      <c r="B821" s="7">
        <v>46208.279282407406</v>
      </c>
      <c r="C821" s="6" t="s">
        <v>26</v>
      </c>
      <c r="D821" s="6" t="s">
        <v>21</v>
      </c>
      <c r="E821" s="6" t="s">
        <v>15</v>
      </c>
      <c r="F821" s="10">
        <v>5225572</v>
      </c>
      <c r="G821" s="6">
        <v>5</v>
      </c>
      <c r="H821" s="6" t="s">
        <v>16</v>
      </c>
      <c r="I821" s="6" t="s">
        <v>23</v>
      </c>
      <c r="J821" s="6" t="s">
        <v>23</v>
      </c>
      <c r="K821" s="6" t="s">
        <v>28</v>
      </c>
      <c r="L821" s="6"/>
      <c r="M821" s="6" t="str">
        <f t="shared" si="12"/>
        <v>50L-80L</v>
      </c>
    </row>
    <row r="822" spans="1:13" x14ac:dyDescent="0.25">
      <c r="A822" s="6" t="s">
        <v>862</v>
      </c>
      <c r="B822" s="7">
        <v>46208.505509259259</v>
      </c>
      <c r="C822" s="6" t="s">
        <v>36</v>
      </c>
      <c r="D822" s="6" t="s">
        <v>1059</v>
      </c>
      <c r="E822" s="6" t="s">
        <v>1042</v>
      </c>
      <c r="F822" s="10">
        <v>2838563</v>
      </c>
      <c r="G822" s="6">
        <v>5</v>
      </c>
      <c r="H822" s="6" t="s">
        <v>16</v>
      </c>
      <c r="I822" s="6" t="s">
        <v>17</v>
      </c>
      <c r="J822" s="6" t="s">
        <v>23</v>
      </c>
      <c r="K822" s="6" t="s">
        <v>24</v>
      </c>
      <c r="L822" s="6"/>
      <c r="M822" s="6" t="str">
        <f t="shared" si="12"/>
        <v>Below 30L</v>
      </c>
    </row>
    <row r="823" spans="1:13" x14ac:dyDescent="0.25">
      <c r="A823" s="6" t="s">
        <v>863</v>
      </c>
      <c r="B823" s="7">
        <v>46208.731736111113</v>
      </c>
      <c r="C823" s="6" t="s">
        <v>13</v>
      </c>
      <c r="D823" s="6" t="s">
        <v>1059</v>
      </c>
      <c r="E823" s="6" t="s">
        <v>15</v>
      </c>
      <c r="F823" s="10">
        <v>4021911</v>
      </c>
      <c r="G823" s="6">
        <v>2</v>
      </c>
      <c r="H823" s="6" t="s">
        <v>37</v>
      </c>
      <c r="I823" s="6" t="s">
        <v>23</v>
      </c>
      <c r="J823" s="6" t="s">
        <v>23</v>
      </c>
      <c r="K823" s="6" t="s">
        <v>28</v>
      </c>
      <c r="L823" s="6"/>
      <c r="M823" s="6" t="str">
        <f t="shared" si="12"/>
        <v>30L-50L</v>
      </c>
    </row>
    <row r="824" spans="1:13" x14ac:dyDescent="0.25">
      <c r="A824" s="6" t="s">
        <v>864</v>
      </c>
      <c r="B824" s="7">
        <v>46208.957962962966</v>
      </c>
      <c r="C824" s="6" t="s">
        <v>26</v>
      </c>
      <c r="D824" s="6" t="s">
        <v>1062</v>
      </c>
      <c r="E824" s="6" t="s">
        <v>22</v>
      </c>
      <c r="F824" s="10">
        <v>11665356</v>
      </c>
      <c r="G824" s="6">
        <v>2</v>
      </c>
      <c r="H824" s="6" t="s">
        <v>16</v>
      </c>
      <c r="I824" s="6" t="s">
        <v>23</v>
      </c>
      <c r="J824" s="6" t="s">
        <v>23</v>
      </c>
      <c r="K824" s="6" t="s">
        <v>28</v>
      </c>
      <c r="L824" s="6"/>
      <c r="M824" s="6" t="str">
        <f t="shared" si="12"/>
        <v>80L-1.2Cr</v>
      </c>
    </row>
    <row r="825" spans="1:13" x14ac:dyDescent="0.25">
      <c r="A825" s="6" t="s">
        <v>865</v>
      </c>
      <c r="B825" s="7">
        <v>46209.184189814812</v>
      </c>
      <c r="C825" s="6" t="s">
        <v>26</v>
      </c>
      <c r="D825" s="6" t="s">
        <v>1063</v>
      </c>
      <c r="E825" s="6" t="s">
        <v>15</v>
      </c>
      <c r="F825" s="10">
        <v>7771210</v>
      </c>
      <c r="G825" s="6">
        <v>2</v>
      </c>
      <c r="H825" s="6" t="s">
        <v>37</v>
      </c>
      <c r="I825" s="6" t="s">
        <v>23</v>
      </c>
      <c r="J825" s="6" t="s">
        <v>23</v>
      </c>
      <c r="K825" s="6" t="s">
        <v>18</v>
      </c>
      <c r="L825" s="6">
        <v>7300000</v>
      </c>
      <c r="M825" s="6" t="str">
        <f t="shared" si="12"/>
        <v>50L-80L</v>
      </c>
    </row>
    <row r="826" spans="1:13" x14ac:dyDescent="0.25">
      <c r="A826" s="6" t="s">
        <v>866</v>
      </c>
      <c r="B826" s="7">
        <v>46209.410405092596</v>
      </c>
      <c r="C826" s="6" t="s">
        <v>20</v>
      </c>
      <c r="D826" s="6" t="s">
        <v>1062</v>
      </c>
      <c r="E826" s="6" t="s">
        <v>15</v>
      </c>
      <c r="F826" s="10">
        <v>6297305</v>
      </c>
      <c r="G826" s="6">
        <v>4</v>
      </c>
      <c r="H826" s="6" t="s">
        <v>37</v>
      </c>
      <c r="I826" s="6" t="s">
        <v>23</v>
      </c>
      <c r="J826" s="6" t="s">
        <v>23</v>
      </c>
      <c r="K826" s="6" t="s">
        <v>18</v>
      </c>
      <c r="L826" s="6">
        <v>6050000</v>
      </c>
      <c r="M826" s="6" t="str">
        <f t="shared" si="12"/>
        <v>50L-80L</v>
      </c>
    </row>
    <row r="827" spans="1:13" x14ac:dyDescent="0.25">
      <c r="A827" s="6" t="s">
        <v>867</v>
      </c>
      <c r="B827" s="7">
        <v>46209.636631944442</v>
      </c>
      <c r="C827" s="6" t="s">
        <v>33</v>
      </c>
      <c r="D827" s="6" t="s">
        <v>1060</v>
      </c>
      <c r="E827" s="6" t="s">
        <v>27</v>
      </c>
      <c r="F827" s="10">
        <v>2914906</v>
      </c>
      <c r="G827" s="6">
        <v>2</v>
      </c>
      <c r="H827" s="6" t="s">
        <v>16</v>
      </c>
      <c r="I827" s="6" t="s">
        <v>23</v>
      </c>
      <c r="J827" s="6" t="s">
        <v>23</v>
      </c>
      <c r="K827" s="6" t="s">
        <v>28</v>
      </c>
      <c r="L827" s="6"/>
      <c r="M827" s="6" t="str">
        <f t="shared" si="12"/>
        <v>Below 30L</v>
      </c>
    </row>
    <row r="828" spans="1:13" x14ac:dyDescent="0.25">
      <c r="A828" s="6" t="s">
        <v>868</v>
      </c>
      <c r="B828" s="7">
        <v>46209.862858796296</v>
      </c>
      <c r="C828" s="6" t="s">
        <v>26</v>
      </c>
      <c r="D828" s="6" t="s">
        <v>1059</v>
      </c>
      <c r="E828" s="6" t="s">
        <v>22</v>
      </c>
      <c r="F828" s="10">
        <v>12421774</v>
      </c>
      <c r="G828" s="6">
        <v>2</v>
      </c>
      <c r="H828" s="6" t="s">
        <v>37</v>
      </c>
      <c r="I828" s="6" t="s">
        <v>23</v>
      </c>
      <c r="J828" s="6" t="s">
        <v>23</v>
      </c>
      <c r="K828" s="6" t="s">
        <v>28</v>
      </c>
      <c r="L828" s="6"/>
      <c r="M828" s="6" t="str">
        <f t="shared" si="12"/>
        <v>Above 1.2Cr</v>
      </c>
    </row>
    <row r="829" spans="1:13" x14ac:dyDescent="0.25">
      <c r="A829" s="6" t="s">
        <v>869</v>
      </c>
      <c r="B829" s="7">
        <v>46210.089085648149</v>
      </c>
      <c r="C829" s="6" t="s">
        <v>26</v>
      </c>
      <c r="D829" s="6" t="s">
        <v>1061</v>
      </c>
      <c r="E829" s="6" t="s">
        <v>15</v>
      </c>
      <c r="F829" s="10">
        <v>3368863</v>
      </c>
      <c r="G829" s="6">
        <v>2</v>
      </c>
      <c r="H829" s="6" t="s">
        <v>37</v>
      </c>
      <c r="I829" s="6" t="s">
        <v>17</v>
      </c>
      <c r="J829" s="6" t="s">
        <v>23</v>
      </c>
      <c r="K829" s="6" t="s">
        <v>24</v>
      </c>
      <c r="L829" s="6"/>
      <c r="M829" s="6" t="str">
        <f t="shared" si="12"/>
        <v>30L-50L</v>
      </c>
    </row>
    <row r="830" spans="1:13" x14ac:dyDescent="0.25">
      <c r="A830" s="6" t="s">
        <v>870</v>
      </c>
      <c r="B830" s="7">
        <v>46210.315312500003</v>
      </c>
      <c r="C830" s="6" t="s">
        <v>36</v>
      </c>
      <c r="D830" s="6" t="s">
        <v>1063</v>
      </c>
      <c r="E830" s="6" t="s">
        <v>15</v>
      </c>
      <c r="F830" s="10">
        <v>3697974</v>
      </c>
      <c r="G830" s="6">
        <v>1</v>
      </c>
      <c r="H830" s="6" t="s">
        <v>16</v>
      </c>
      <c r="I830" s="6" t="s">
        <v>23</v>
      </c>
      <c r="J830" s="6" t="s">
        <v>23</v>
      </c>
      <c r="K830" s="6" t="s">
        <v>28</v>
      </c>
      <c r="L830" s="6"/>
      <c r="M830" s="6" t="str">
        <f t="shared" si="12"/>
        <v>30L-50L</v>
      </c>
    </row>
    <row r="831" spans="1:13" x14ac:dyDescent="0.25">
      <c r="A831" s="6" t="s">
        <v>871</v>
      </c>
      <c r="B831" s="7">
        <v>46210.541539351849</v>
      </c>
      <c r="C831" s="6" t="s">
        <v>20</v>
      </c>
      <c r="D831" s="6" t="s">
        <v>21</v>
      </c>
      <c r="E831" s="6" t="s">
        <v>15</v>
      </c>
      <c r="F831" s="10">
        <v>4607450</v>
      </c>
      <c r="G831" s="6">
        <v>4</v>
      </c>
      <c r="H831" s="6" t="s">
        <v>16</v>
      </c>
      <c r="I831" s="6" t="s">
        <v>23</v>
      </c>
      <c r="J831" s="6" t="s">
        <v>23</v>
      </c>
      <c r="K831" s="6" t="s">
        <v>28</v>
      </c>
      <c r="L831" s="6"/>
      <c r="M831" s="6" t="str">
        <f t="shared" si="12"/>
        <v>30L-50L</v>
      </c>
    </row>
    <row r="832" spans="1:13" x14ac:dyDescent="0.25">
      <c r="A832" s="6" t="s">
        <v>872</v>
      </c>
      <c r="B832" s="7">
        <v>46210.767766203702</v>
      </c>
      <c r="C832" s="6" t="s">
        <v>26</v>
      </c>
      <c r="D832" s="6" t="s">
        <v>1061</v>
      </c>
      <c r="E832" s="6" t="s">
        <v>15</v>
      </c>
      <c r="F832" s="10">
        <v>3072095</v>
      </c>
      <c r="G832" s="6">
        <v>1</v>
      </c>
      <c r="H832" s="6" t="s">
        <v>37</v>
      </c>
      <c r="I832" s="6" t="s">
        <v>23</v>
      </c>
      <c r="J832" s="6" t="s">
        <v>23</v>
      </c>
      <c r="K832" s="6" t="s">
        <v>28</v>
      </c>
      <c r="L832" s="6"/>
      <c r="M832" s="6" t="str">
        <f t="shared" si="12"/>
        <v>30L-50L</v>
      </c>
    </row>
    <row r="833" spans="1:13" x14ac:dyDescent="0.25">
      <c r="A833" s="6" t="s">
        <v>873</v>
      </c>
      <c r="B833" s="7">
        <v>46210.993993055556</v>
      </c>
      <c r="C833" s="6" t="s">
        <v>20</v>
      </c>
      <c r="D833" s="6" t="s">
        <v>1062</v>
      </c>
      <c r="E833" s="6" t="s">
        <v>22</v>
      </c>
      <c r="F833" s="10">
        <v>11217893</v>
      </c>
      <c r="G833" s="6">
        <v>3</v>
      </c>
      <c r="H833" s="6" t="s">
        <v>37</v>
      </c>
      <c r="I833" s="6" t="s">
        <v>17</v>
      </c>
      <c r="J833" s="6" t="s">
        <v>23</v>
      </c>
      <c r="K833" s="6" t="s">
        <v>24</v>
      </c>
      <c r="L833" s="6"/>
      <c r="M833" s="6" t="str">
        <f t="shared" si="12"/>
        <v>80L-1.2Cr</v>
      </c>
    </row>
    <row r="834" spans="1:13" x14ac:dyDescent="0.25">
      <c r="A834" s="6" t="s">
        <v>874</v>
      </c>
      <c r="B834" s="7">
        <v>46211.220219907409</v>
      </c>
      <c r="C834" s="6" t="s">
        <v>13</v>
      </c>
      <c r="D834" s="6" t="s">
        <v>1060</v>
      </c>
      <c r="E834" s="6" t="s">
        <v>15</v>
      </c>
      <c r="F834" s="10">
        <v>6441984</v>
      </c>
      <c r="G834" s="6">
        <v>1</v>
      </c>
      <c r="H834" s="6" t="s">
        <v>16</v>
      </c>
      <c r="I834" s="6" t="s">
        <v>17</v>
      </c>
      <c r="J834" s="6" t="s">
        <v>23</v>
      </c>
      <c r="K834" s="6" t="s">
        <v>24</v>
      </c>
      <c r="L834" s="6"/>
      <c r="M834" s="6" t="str">
        <f t="shared" ref="M834:M897" si="13">IF(F834&lt;3000000,"Below 30L",IF(F834&lt;5000000,"30L-50L",IF(F834&lt;8000000,"50L-80L",IF(F834&lt;12000000,"80L-1.2Cr","Above 1.2Cr"))))</f>
        <v>50L-80L</v>
      </c>
    </row>
    <row r="835" spans="1:13" x14ac:dyDescent="0.25">
      <c r="A835" s="6" t="s">
        <v>875</v>
      </c>
      <c r="B835" s="7">
        <v>46211.446446759262</v>
      </c>
      <c r="C835" s="6" t="s">
        <v>13</v>
      </c>
      <c r="D835" s="6" t="s">
        <v>1063</v>
      </c>
      <c r="E835" s="6" t="s">
        <v>15</v>
      </c>
      <c r="F835" s="10">
        <v>4626203</v>
      </c>
      <c r="G835" s="6">
        <v>1</v>
      </c>
      <c r="H835" s="6" t="s">
        <v>16</v>
      </c>
      <c r="I835" s="6" t="s">
        <v>17</v>
      </c>
      <c r="J835" s="6" t="s">
        <v>17</v>
      </c>
      <c r="K835" s="6" t="s">
        <v>24</v>
      </c>
      <c r="L835" s="6"/>
      <c r="M835" s="6" t="str">
        <f t="shared" si="13"/>
        <v>30L-50L</v>
      </c>
    </row>
    <row r="836" spans="1:13" x14ac:dyDescent="0.25">
      <c r="A836" s="6" t="s">
        <v>876</v>
      </c>
      <c r="B836" s="7">
        <v>46211.672673611109</v>
      </c>
      <c r="C836" s="6" t="s">
        <v>20</v>
      </c>
      <c r="D836" s="6" t="s">
        <v>1063</v>
      </c>
      <c r="E836" s="6" t="s">
        <v>15</v>
      </c>
      <c r="F836" s="10">
        <v>4618543</v>
      </c>
      <c r="G836" s="6">
        <v>3</v>
      </c>
      <c r="H836" s="6" t="s">
        <v>37</v>
      </c>
      <c r="I836" s="6" t="s">
        <v>17</v>
      </c>
      <c r="J836" s="6" t="s">
        <v>23</v>
      </c>
      <c r="K836" s="6" t="s">
        <v>24</v>
      </c>
      <c r="L836" s="6"/>
      <c r="M836" s="6" t="str">
        <f t="shared" si="13"/>
        <v>30L-50L</v>
      </c>
    </row>
    <row r="837" spans="1:13" x14ac:dyDescent="0.25">
      <c r="A837" s="6" t="s">
        <v>877</v>
      </c>
      <c r="B837" s="7">
        <v>46211.898900462962</v>
      </c>
      <c r="C837" s="6" t="s">
        <v>20</v>
      </c>
      <c r="D837" s="6" t="s">
        <v>1062</v>
      </c>
      <c r="E837" s="6" t="s">
        <v>27</v>
      </c>
      <c r="F837" s="10">
        <v>3575611</v>
      </c>
      <c r="G837" s="6">
        <v>6</v>
      </c>
      <c r="H837" s="6" t="s">
        <v>16</v>
      </c>
      <c r="I837" s="6" t="s">
        <v>17</v>
      </c>
      <c r="J837" s="6" t="s">
        <v>17</v>
      </c>
      <c r="K837" s="6" t="s">
        <v>18</v>
      </c>
      <c r="L837" s="6">
        <v>3550000</v>
      </c>
      <c r="M837" s="6" t="str">
        <f t="shared" si="13"/>
        <v>30L-50L</v>
      </c>
    </row>
    <row r="838" spans="1:13" x14ac:dyDescent="0.25">
      <c r="A838" s="6" t="s">
        <v>878</v>
      </c>
      <c r="B838" s="7">
        <v>46212.125127314815</v>
      </c>
      <c r="C838" s="6" t="s">
        <v>33</v>
      </c>
      <c r="D838" s="6" t="s">
        <v>1059</v>
      </c>
      <c r="E838" s="6" t="s">
        <v>27</v>
      </c>
      <c r="F838" s="10">
        <v>1955433</v>
      </c>
      <c r="G838" s="6">
        <v>4</v>
      </c>
      <c r="H838" s="6" t="s">
        <v>16</v>
      </c>
      <c r="I838" s="6" t="s">
        <v>23</v>
      </c>
      <c r="J838" s="6" t="s">
        <v>23</v>
      </c>
      <c r="K838" s="6" t="s">
        <v>28</v>
      </c>
      <c r="L838" s="6"/>
      <c r="M838" s="6" t="str">
        <f t="shared" si="13"/>
        <v>Below 30L</v>
      </c>
    </row>
    <row r="839" spans="1:13" x14ac:dyDescent="0.25">
      <c r="A839" s="6" t="s">
        <v>879</v>
      </c>
      <c r="B839" s="7">
        <v>46212.351354166669</v>
      </c>
      <c r="C839" s="6" t="s">
        <v>26</v>
      </c>
      <c r="D839" s="6" t="s">
        <v>21</v>
      </c>
      <c r="E839" s="6" t="s">
        <v>15</v>
      </c>
      <c r="F839" s="10">
        <v>4447307</v>
      </c>
      <c r="G839" s="6">
        <v>1</v>
      </c>
      <c r="H839" s="6" t="s">
        <v>37</v>
      </c>
      <c r="I839" s="6" t="s">
        <v>23</v>
      </c>
      <c r="J839" s="6" t="s">
        <v>23</v>
      </c>
      <c r="K839" s="6" t="s">
        <v>28</v>
      </c>
      <c r="L839" s="6"/>
      <c r="M839" s="6" t="str">
        <f t="shared" si="13"/>
        <v>30L-50L</v>
      </c>
    </row>
    <row r="840" spans="1:13" x14ac:dyDescent="0.25">
      <c r="A840" s="6" t="s">
        <v>880</v>
      </c>
      <c r="B840" s="7">
        <v>46212.577581018515</v>
      </c>
      <c r="C840" s="6" t="s">
        <v>30</v>
      </c>
      <c r="D840" s="6" t="s">
        <v>1061</v>
      </c>
      <c r="E840" s="6" t="s">
        <v>22</v>
      </c>
      <c r="F840" s="10">
        <v>7146204</v>
      </c>
      <c r="G840" s="6">
        <v>1</v>
      </c>
      <c r="H840" s="6" t="s">
        <v>37</v>
      </c>
      <c r="I840" s="6" t="s">
        <v>23</v>
      </c>
      <c r="J840" s="6" t="s">
        <v>23</v>
      </c>
      <c r="K840" s="6" t="s">
        <v>28</v>
      </c>
      <c r="L840" s="6"/>
      <c r="M840" s="6" t="str">
        <f t="shared" si="13"/>
        <v>50L-80L</v>
      </c>
    </row>
    <row r="841" spans="1:13" x14ac:dyDescent="0.25">
      <c r="A841" s="6" t="s">
        <v>881</v>
      </c>
      <c r="B841" s="7">
        <v>46212.803807870368</v>
      </c>
      <c r="C841" s="6" t="s">
        <v>30</v>
      </c>
      <c r="D841" s="6" t="s">
        <v>1059</v>
      </c>
      <c r="E841" s="6" t="s">
        <v>15</v>
      </c>
      <c r="F841" s="10">
        <v>6475176</v>
      </c>
      <c r="G841" s="6">
        <v>5</v>
      </c>
      <c r="H841" s="6" t="s">
        <v>16</v>
      </c>
      <c r="I841" s="6" t="s">
        <v>17</v>
      </c>
      <c r="J841" s="6" t="s">
        <v>17</v>
      </c>
      <c r="K841" s="6" t="s">
        <v>24</v>
      </c>
      <c r="L841" s="6"/>
      <c r="M841" s="6" t="str">
        <f t="shared" si="13"/>
        <v>50L-80L</v>
      </c>
    </row>
    <row r="842" spans="1:13" x14ac:dyDescent="0.25">
      <c r="A842" s="6" t="s">
        <v>882</v>
      </c>
      <c r="B842" s="7">
        <v>46213.030034722222</v>
      </c>
      <c r="C842" s="6" t="s">
        <v>13</v>
      </c>
      <c r="D842" s="6" t="s">
        <v>21</v>
      </c>
      <c r="E842" s="6" t="s">
        <v>15</v>
      </c>
      <c r="F842" s="10">
        <v>4353849</v>
      </c>
      <c r="G842" s="6">
        <v>2</v>
      </c>
      <c r="H842" s="6" t="s">
        <v>37</v>
      </c>
      <c r="I842" s="6" t="s">
        <v>17</v>
      </c>
      <c r="J842" s="6" t="s">
        <v>23</v>
      </c>
      <c r="K842" s="6" t="s">
        <v>24</v>
      </c>
      <c r="L842" s="6"/>
      <c r="M842" s="6" t="str">
        <f t="shared" si="13"/>
        <v>30L-50L</v>
      </c>
    </row>
    <row r="843" spans="1:13" x14ac:dyDescent="0.25">
      <c r="A843" s="6" t="s">
        <v>883</v>
      </c>
      <c r="B843" s="7">
        <v>46213.256261574075</v>
      </c>
      <c r="C843" s="6" t="s">
        <v>30</v>
      </c>
      <c r="D843" s="6" t="s">
        <v>21</v>
      </c>
      <c r="E843" s="6" t="s">
        <v>22</v>
      </c>
      <c r="F843" s="10">
        <v>8139826</v>
      </c>
      <c r="G843" s="6">
        <v>1</v>
      </c>
      <c r="H843" s="6" t="s">
        <v>37</v>
      </c>
      <c r="I843" s="6" t="s">
        <v>23</v>
      </c>
      <c r="J843" s="6" t="s">
        <v>23</v>
      </c>
      <c r="K843" s="6" t="s">
        <v>28</v>
      </c>
      <c r="L843" s="6"/>
      <c r="M843" s="6" t="str">
        <f t="shared" si="13"/>
        <v>80L-1.2Cr</v>
      </c>
    </row>
    <row r="844" spans="1:13" x14ac:dyDescent="0.25">
      <c r="A844" s="6" t="s">
        <v>884</v>
      </c>
      <c r="B844" s="7">
        <v>46213.482476851852</v>
      </c>
      <c r="C844" s="6" t="s">
        <v>13</v>
      </c>
      <c r="D844" s="6" t="s">
        <v>21</v>
      </c>
      <c r="E844" s="6" t="s">
        <v>27</v>
      </c>
      <c r="F844" s="10">
        <v>1791975</v>
      </c>
      <c r="G844" s="6">
        <v>5</v>
      </c>
      <c r="H844" s="6" t="s">
        <v>16</v>
      </c>
      <c r="I844" s="6" t="s">
        <v>17</v>
      </c>
      <c r="J844" s="6" t="s">
        <v>23</v>
      </c>
      <c r="K844" s="6" t="s">
        <v>24</v>
      </c>
      <c r="L844" s="6"/>
      <c r="M844" s="6" t="str">
        <f t="shared" si="13"/>
        <v>Below 30L</v>
      </c>
    </row>
    <row r="845" spans="1:13" x14ac:dyDescent="0.25">
      <c r="A845" s="6" t="s">
        <v>885</v>
      </c>
      <c r="B845" s="7">
        <v>46213.708703703705</v>
      </c>
      <c r="C845" s="6" t="s">
        <v>33</v>
      </c>
      <c r="D845" s="6" t="s">
        <v>1062</v>
      </c>
      <c r="E845" s="6" t="s">
        <v>27</v>
      </c>
      <c r="F845" s="10">
        <v>3431437</v>
      </c>
      <c r="G845" s="6">
        <v>4</v>
      </c>
      <c r="H845" s="6" t="s">
        <v>16</v>
      </c>
      <c r="I845" s="6" t="s">
        <v>23</v>
      </c>
      <c r="J845" s="6" t="s">
        <v>17</v>
      </c>
      <c r="K845" s="6" t="s">
        <v>18</v>
      </c>
      <c r="L845" s="6">
        <v>3500000</v>
      </c>
      <c r="M845" s="6" t="str">
        <f t="shared" si="13"/>
        <v>30L-50L</v>
      </c>
    </row>
    <row r="846" spans="1:13" x14ac:dyDescent="0.25">
      <c r="A846" s="6" t="s">
        <v>886</v>
      </c>
      <c r="B846" s="7">
        <v>46213.934930555559</v>
      </c>
      <c r="C846" s="6" t="s">
        <v>13</v>
      </c>
      <c r="D846" s="6" t="s">
        <v>1061</v>
      </c>
      <c r="E846" s="6" t="s">
        <v>22</v>
      </c>
      <c r="F846" s="10">
        <v>14877449</v>
      </c>
      <c r="G846" s="6">
        <v>6</v>
      </c>
      <c r="H846" s="6" t="s">
        <v>16</v>
      </c>
      <c r="I846" s="6" t="s">
        <v>17</v>
      </c>
      <c r="J846" s="6" t="s">
        <v>17</v>
      </c>
      <c r="K846" s="6" t="s">
        <v>18</v>
      </c>
      <c r="L846" s="6">
        <v>14300000</v>
      </c>
      <c r="M846" s="6" t="str">
        <f t="shared" si="13"/>
        <v>Above 1.2Cr</v>
      </c>
    </row>
    <row r="847" spans="1:13" x14ac:dyDescent="0.25">
      <c r="A847" s="6" t="s">
        <v>887</v>
      </c>
      <c r="B847" s="7">
        <v>46214.161157407405</v>
      </c>
      <c r="C847" s="6" t="s">
        <v>20</v>
      </c>
      <c r="D847" s="6" t="s">
        <v>1059</v>
      </c>
      <c r="E847" s="6" t="s">
        <v>15</v>
      </c>
      <c r="F847" s="10">
        <v>5867373</v>
      </c>
      <c r="G847" s="6">
        <v>5</v>
      </c>
      <c r="H847" s="6" t="s">
        <v>37</v>
      </c>
      <c r="I847" s="6" t="s">
        <v>17</v>
      </c>
      <c r="J847" s="6" t="s">
        <v>23</v>
      </c>
      <c r="K847" s="6" t="s">
        <v>24</v>
      </c>
      <c r="L847" s="6"/>
      <c r="M847" s="6" t="str">
        <f t="shared" si="13"/>
        <v>50L-80L</v>
      </c>
    </row>
    <row r="848" spans="1:13" x14ac:dyDescent="0.25">
      <c r="A848" s="6" t="s">
        <v>888</v>
      </c>
      <c r="B848" s="7">
        <v>46214.387384259258</v>
      </c>
      <c r="C848" s="6" t="s">
        <v>13</v>
      </c>
      <c r="D848" s="6" t="s">
        <v>1059</v>
      </c>
      <c r="E848" s="6" t="s">
        <v>22</v>
      </c>
      <c r="F848" s="10">
        <v>8365766</v>
      </c>
      <c r="G848" s="6">
        <v>5</v>
      </c>
      <c r="H848" s="6" t="s">
        <v>16</v>
      </c>
      <c r="I848" s="6" t="s">
        <v>17</v>
      </c>
      <c r="J848" s="6" t="s">
        <v>17</v>
      </c>
      <c r="K848" s="6" t="s">
        <v>24</v>
      </c>
      <c r="L848" s="6"/>
      <c r="M848" s="6" t="str">
        <f t="shared" si="13"/>
        <v>80L-1.2Cr</v>
      </c>
    </row>
    <row r="849" spans="1:13" x14ac:dyDescent="0.25">
      <c r="A849" s="6" t="s">
        <v>889</v>
      </c>
      <c r="B849" s="7">
        <v>46214.613611111112</v>
      </c>
      <c r="C849" s="6" t="s">
        <v>33</v>
      </c>
      <c r="D849" s="6" t="s">
        <v>1059</v>
      </c>
      <c r="E849" s="6" t="s">
        <v>15</v>
      </c>
      <c r="F849" s="10">
        <v>3517733</v>
      </c>
      <c r="G849" s="6">
        <v>1</v>
      </c>
      <c r="H849" s="6" t="s">
        <v>16</v>
      </c>
      <c r="I849" s="6" t="s">
        <v>23</v>
      </c>
      <c r="J849" s="6" t="s">
        <v>17</v>
      </c>
      <c r="K849" s="6" t="s">
        <v>18</v>
      </c>
      <c r="L849" s="6">
        <v>3400000</v>
      </c>
      <c r="M849" s="6" t="str">
        <f t="shared" si="13"/>
        <v>30L-50L</v>
      </c>
    </row>
    <row r="850" spans="1:13" x14ac:dyDescent="0.25">
      <c r="A850" s="6" t="s">
        <v>890</v>
      </c>
      <c r="B850" s="7">
        <v>46214.839837962965</v>
      </c>
      <c r="C850" s="6" t="s">
        <v>20</v>
      </c>
      <c r="D850" s="6" t="s">
        <v>1061</v>
      </c>
      <c r="E850" s="6" t="s">
        <v>22</v>
      </c>
      <c r="F850" s="10">
        <v>10304054</v>
      </c>
      <c r="G850" s="6">
        <v>1</v>
      </c>
      <c r="H850" s="6" t="s">
        <v>16</v>
      </c>
      <c r="I850" s="6" t="s">
        <v>23</v>
      </c>
      <c r="J850" s="6" t="s">
        <v>17</v>
      </c>
      <c r="K850" s="6" t="s">
        <v>28</v>
      </c>
      <c r="L850" s="6"/>
      <c r="M850" s="6" t="str">
        <f t="shared" si="13"/>
        <v>80L-1.2Cr</v>
      </c>
    </row>
    <row r="851" spans="1:13" x14ac:dyDescent="0.25">
      <c r="A851" s="6" t="s">
        <v>891</v>
      </c>
      <c r="B851" s="7">
        <v>46215.066064814811</v>
      </c>
      <c r="C851" s="6" t="s">
        <v>30</v>
      </c>
      <c r="D851" s="6" t="s">
        <v>1062</v>
      </c>
      <c r="E851" s="6" t="s">
        <v>15</v>
      </c>
      <c r="F851" s="10">
        <v>4776453</v>
      </c>
      <c r="G851" s="6">
        <v>3</v>
      </c>
      <c r="H851" s="6" t="s">
        <v>37</v>
      </c>
      <c r="I851" s="6" t="s">
        <v>17</v>
      </c>
      <c r="J851" s="6" t="s">
        <v>23</v>
      </c>
      <c r="K851" s="6" t="s">
        <v>24</v>
      </c>
      <c r="L851" s="6"/>
      <c r="M851" s="6" t="str">
        <f t="shared" si="13"/>
        <v>30L-50L</v>
      </c>
    </row>
    <row r="852" spans="1:13" x14ac:dyDescent="0.25">
      <c r="A852" s="6" t="s">
        <v>892</v>
      </c>
      <c r="B852" s="7">
        <v>46215.292291666665</v>
      </c>
      <c r="C852" s="6" t="s">
        <v>13</v>
      </c>
      <c r="D852" s="6" t="s">
        <v>21</v>
      </c>
      <c r="E852" s="6" t="s">
        <v>22</v>
      </c>
      <c r="F852" s="10">
        <v>9845802</v>
      </c>
      <c r="G852" s="6">
        <v>3</v>
      </c>
      <c r="H852" s="6" t="s">
        <v>16</v>
      </c>
      <c r="I852" s="6" t="s">
        <v>23</v>
      </c>
      <c r="J852" s="6" t="s">
        <v>23</v>
      </c>
      <c r="K852" s="6" t="s">
        <v>28</v>
      </c>
      <c r="L852" s="6"/>
      <c r="M852" s="6" t="str">
        <f t="shared" si="13"/>
        <v>80L-1.2Cr</v>
      </c>
    </row>
    <row r="853" spans="1:13" x14ac:dyDescent="0.25">
      <c r="A853" s="6" t="s">
        <v>893</v>
      </c>
      <c r="B853" s="7">
        <v>46215.518518518518</v>
      </c>
      <c r="C853" s="6" t="s">
        <v>36</v>
      </c>
      <c r="D853" s="6" t="s">
        <v>1063</v>
      </c>
      <c r="E853" s="6" t="s">
        <v>15</v>
      </c>
      <c r="F853" s="10">
        <v>8082702</v>
      </c>
      <c r="G853" s="6">
        <v>2</v>
      </c>
      <c r="H853" s="6" t="s">
        <v>16</v>
      </c>
      <c r="I853" s="6" t="s">
        <v>23</v>
      </c>
      <c r="J853" s="6" t="s">
        <v>23</v>
      </c>
      <c r="K853" s="6" t="s">
        <v>28</v>
      </c>
      <c r="L853" s="6"/>
      <c r="M853" s="6" t="str">
        <f t="shared" si="13"/>
        <v>80L-1.2Cr</v>
      </c>
    </row>
    <row r="854" spans="1:13" x14ac:dyDescent="0.25">
      <c r="A854" s="6" t="s">
        <v>894</v>
      </c>
      <c r="B854" s="7">
        <v>46215.744745370372</v>
      </c>
      <c r="C854" s="6" t="s">
        <v>26</v>
      </c>
      <c r="D854" s="6" t="s">
        <v>1061</v>
      </c>
      <c r="E854" s="6" t="s">
        <v>15</v>
      </c>
      <c r="F854" s="10">
        <v>6190993</v>
      </c>
      <c r="G854" s="6">
        <v>2</v>
      </c>
      <c r="H854" s="6" t="s">
        <v>16</v>
      </c>
      <c r="I854" s="6" t="s">
        <v>23</v>
      </c>
      <c r="J854" s="6" t="s">
        <v>23</v>
      </c>
      <c r="K854" s="6" t="s">
        <v>18</v>
      </c>
      <c r="L854" s="6">
        <v>5900000</v>
      </c>
      <c r="M854" s="6" t="str">
        <f t="shared" si="13"/>
        <v>50L-80L</v>
      </c>
    </row>
    <row r="855" spans="1:13" x14ac:dyDescent="0.25">
      <c r="A855" s="6" t="s">
        <v>895</v>
      </c>
      <c r="B855" s="7">
        <v>46215.970972222225</v>
      </c>
      <c r="C855" s="6" t="s">
        <v>36</v>
      </c>
      <c r="D855" s="6" t="s">
        <v>1063</v>
      </c>
      <c r="E855" s="6" t="s">
        <v>27</v>
      </c>
      <c r="F855" s="10">
        <v>2121912</v>
      </c>
      <c r="G855" s="6">
        <v>2</v>
      </c>
      <c r="H855" s="6" t="s">
        <v>37</v>
      </c>
      <c r="I855" s="6" t="s">
        <v>23</v>
      </c>
      <c r="J855" s="6" t="s">
        <v>23</v>
      </c>
      <c r="K855" s="6" t="s">
        <v>28</v>
      </c>
      <c r="L855" s="6"/>
      <c r="M855" s="6" t="str">
        <f t="shared" si="13"/>
        <v>Below 30L</v>
      </c>
    </row>
    <row r="856" spans="1:13" x14ac:dyDescent="0.25">
      <c r="A856" s="6" t="s">
        <v>896</v>
      </c>
      <c r="B856" s="7">
        <v>46216.197199074071</v>
      </c>
      <c r="C856" s="6" t="s">
        <v>26</v>
      </c>
      <c r="D856" s="6" t="s">
        <v>1061</v>
      </c>
      <c r="E856" s="6" t="s">
        <v>15</v>
      </c>
      <c r="F856" s="10">
        <v>4017497</v>
      </c>
      <c r="G856" s="6">
        <v>3</v>
      </c>
      <c r="H856" s="6" t="s">
        <v>16</v>
      </c>
      <c r="I856" s="6" t="s">
        <v>17</v>
      </c>
      <c r="J856" s="6" t="s">
        <v>17</v>
      </c>
      <c r="K856" s="6" t="s">
        <v>24</v>
      </c>
      <c r="L856" s="6"/>
      <c r="M856" s="6" t="str">
        <f t="shared" si="13"/>
        <v>30L-50L</v>
      </c>
    </row>
    <row r="857" spans="1:13" x14ac:dyDescent="0.25">
      <c r="A857" s="6" t="s">
        <v>897</v>
      </c>
      <c r="B857" s="7">
        <v>46216.423425925925</v>
      </c>
      <c r="C857" s="6" t="s">
        <v>13</v>
      </c>
      <c r="D857" s="6" t="s">
        <v>1059</v>
      </c>
      <c r="E857" s="6" t="s">
        <v>15</v>
      </c>
      <c r="F857" s="10">
        <v>6142318</v>
      </c>
      <c r="G857" s="6">
        <v>1</v>
      </c>
      <c r="H857" s="6" t="s">
        <v>16</v>
      </c>
      <c r="I857" s="6" t="s">
        <v>17</v>
      </c>
      <c r="J857" s="6" t="s">
        <v>23</v>
      </c>
      <c r="K857" s="6" t="s">
        <v>24</v>
      </c>
      <c r="L857" s="6"/>
      <c r="M857" s="6" t="str">
        <f t="shared" si="13"/>
        <v>50L-80L</v>
      </c>
    </row>
    <row r="858" spans="1:13" x14ac:dyDescent="0.25">
      <c r="A858" s="6" t="s">
        <v>898</v>
      </c>
      <c r="B858" s="7">
        <v>46216.649652777778</v>
      </c>
      <c r="C858" s="6" t="s">
        <v>13</v>
      </c>
      <c r="D858" s="6" t="s">
        <v>1063</v>
      </c>
      <c r="E858" s="6" t="s">
        <v>15</v>
      </c>
      <c r="F858" s="10">
        <v>3985976</v>
      </c>
      <c r="G858" s="6">
        <v>2</v>
      </c>
      <c r="H858" s="6" t="s">
        <v>16</v>
      </c>
      <c r="I858" s="6" t="s">
        <v>17</v>
      </c>
      <c r="J858" s="6" t="s">
        <v>23</v>
      </c>
      <c r="K858" s="6" t="s">
        <v>24</v>
      </c>
      <c r="L858" s="6"/>
      <c r="M858" s="6" t="str">
        <f t="shared" si="13"/>
        <v>30L-50L</v>
      </c>
    </row>
    <row r="859" spans="1:13" x14ac:dyDescent="0.25">
      <c r="A859" s="6" t="s">
        <v>899</v>
      </c>
      <c r="B859" s="7">
        <v>46216.875879629632</v>
      </c>
      <c r="C859" s="6" t="s">
        <v>20</v>
      </c>
      <c r="D859" s="6" t="s">
        <v>1060</v>
      </c>
      <c r="E859" s="6" t="s">
        <v>15</v>
      </c>
      <c r="F859" s="10">
        <v>4273989</v>
      </c>
      <c r="G859" s="6">
        <v>3</v>
      </c>
      <c r="H859" s="6" t="s">
        <v>37</v>
      </c>
      <c r="I859" s="6" t="s">
        <v>17</v>
      </c>
      <c r="J859" s="6" t="s">
        <v>23</v>
      </c>
      <c r="K859" s="6" t="s">
        <v>24</v>
      </c>
      <c r="L859" s="6"/>
      <c r="M859" s="6" t="str">
        <f t="shared" si="13"/>
        <v>30L-50L</v>
      </c>
    </row>
    <row r="860" spans="1:13" x14ac:dyDescent="0.25">
      <c r="A860" s="6" t="s">
        <v>900</v>
      </c>
      <c r="B860" s="7">
        <v>46217.102106481485</v>
      </c>
      <c r="C860" s="6" t="s">
        <v>20</v>
      </c>
      <c r="D860" s="6" t="s">
        <v>1063</v>
      </c>
      <c r="E860" s="6" t="s">
        <v>15</v>
      </c>
      <c r="F860" s="10">
        <v>5574603</v>
      </c>
      <c r="G860" s="6">
        <v>4</v>
      </c>
      <c r="H860" s="6" t="s">
        <v>16</v>
      </c>
      <c r="I860" s="6" t="s">
        <v>17</v>
      </c>
      <c r="J860" s="6" t="s">
        <v>17</v>
      </c>
      <c r="K860" s="6" t="s">
        <v>24</v>
      </c>
      <c r="L860" s="6"/>
      <c r="M860" s="6" t="str">
        <f t="shared" si="13"/>
        <v>50L-80L</v>
      </c>
    </row>
    <row r="861" spans="1:13" x14ac:dyDescent="0.25">
      <c r="A861" s="6" t="s">
        <v>901</v>
      </c>
      <c r="B861" s="7">
        <v>46217.328333333331</v>
      </c>
      <c r="C861" s="6" t="s">
        <v>13</v>
      </c>
      <c r="D861" s="6" t="s">
        <v>1062</v>
      </c>
      <c r="E861" s="6" t="s">
        <v>15</v>
      </c>
      <c r="F861" s="10">
        <v>4363133</v>
      </c>
      <c r="G861" s="6">
        <v>1</v>
      </c>
      <c r="H861" s="6" t="s">
        <v>16</v>
      </c>
      <c r="I861" s="6" t="s">
        <v>23</v>
      </c>
      <c r="J861" s="6" t="s">
        <v>17</v>
      </c>
      <c r="K861" s="6" t="s">
        <v>28</v>
      </c>
      <c r="L861" s="6"/>
      <c r="M861" s="6" t="str">
        <f t="shared" si="13"/>
        <v>30L-50L</v>
      </c>
    </row>
    <row r="862" spans="1:13" x14ac:dyDescent="0.25">
      <c r="A862" s="6" t="s">
        <v>902</v>
      </c>
      <c r="B862" s="7">
        <v>46217.554560185185</v>
      </c>
      <c r="C862" s="6" t="s">
        <v>36</v>
      </c>
      <c r="D862" s="6" t="s">
        <v>1063</v>
      </c>
      <c r="E862" s="6" t="s">
        <v>27</v>
      </c>
      <c r="F862" s="10">
        <v>1690285</v>
      </c>
      <c r="G862" s="6">
        <v>3</v>
      </c>
      <c r="H862" s="6" t="s">
        <v>16</v>
      </c>
      <c r="I862" s="6" t="s">
        <v>23</v>
      </c>
      <c r="J862" s="6" t="s">
        <v>23</v>
      </c>
      <c r="K862" s="6" t="s">
        <v>28</v>
      </c>
      <c r="L862" s="6"/>
      <c r="M862" s="6" t="str">
        <f t="shared" si="13"/>
        <v>Below 30L</v>
      </c>
    </row>
    <row r="863" spans="1:13" x14ac:dyDescent="0.25">
      <c r="A863" s="6" t="s">
        <v>903</v>
      </c>
      <c r="B863" s="7">
        <v>46217.780775462961</v>
      </c>
      <c r="C863" s="6" t="s">
        <v>20</v>
      </c>
      <c r="D863" s="6" t="s">
        <v>1062</v>
      </c>
      <c r="E863" s="6" t="s">
        <v>15</v>
      </c>
      <c r="F863" s="10">
        <v>3113978</v>
      </c>
      <c r="G863" s="6">
        <v>4</v>
      </c>
      <c r="H863" s="6" t="s">
        <v>37</v>
      </c>
      <c r="I863" s="6" t="s">
        <v>23</v>
      </c>
      <c r="J863" s="6" t="s">
        <v>23</v>
      </c>
      <c r="K863" s="6" t="s">
        <v>28</v>
      </c>
      <c r="L863" s="6"/>
      <c r="M863" s="6" t="str">
        <f t="shared" si="13"/>
        <v>30L-50L</v>
      </c>
    </row>
    <row r="864" spans="1:13" x14ac:dyDescent="0.25">
      <c r="A864" s="6" t="s">
        <v>904</v>
      </c>
      <c r="B864" s="7">
        <v>46218.007002314815</v>
      </c>
      <c r="C864" s="6" t="s">
        <v>20</v>
      </c>
      <c r="D864" s="6" t="s">
        <v>1059</v>
      </c>
      <c r="E864" s="6" t="s">
        <v>27</v>
      </c>
      <c r="F864" s="10">
        <v>1603864</v>
      </c>
      <c r="G864" s="6">
        <v>2</v>
      </c>
      <c r="H864" s="6" t="s">
        <v>16</v>
      </c>
      <c r="I864" s="6" t="s">
        <v>17</v>
      </c>
      <c r="J864" s="6" t="s">
        <v>17</v>
      </c>
      <c r="K864" s="6" t="s">
        <v>18</v>
      </c>
      <c r="L864" s="6">
        <v>1550000</v>
      </c>
      <c r="M864" s="6" t="str">
        <f t="shared" si="13"/>
        <v>Below 30L</v>
      </c>
    </row>
    <row r="865" spans="1:13" x14ac:dyDescent="0.25">
      <c r="A865" s="6" t="s">
        <v>905</v>
      </c>
      <c r="B865" s="7">
        <v>46218.233229166668</v>
      </c>
      <c r="C865" s="6" t="s">
        <v>20</v>
      </c>
      <c r="D865" s="6" t="s">
        <v>1060</v>
      </c>
      <c r="E865" s="6" t="s">
        <v>22</v>
      </c>
      <c r="F865" s="10">
        <v>6394295</v>
      </c>
      <c r="G865" s="6">
        <v>1</v>
      </c>
      <c r="H865" s="6" t="s">
        <v>37</v>
      </c>
      <c r="I865" s="6" t="s">
        <v>23</v>
      </c>
      <c r="J865" s="6" t="s">
        <v>23</v>
      </c>
      <c r="K865" s="6" t="s">
        <v>28</v>
      </c>
      <c r="L865" s="6"/>
      <c r="M865" s="6" t="str">
        <f t="shared" si="13"/>
        <v>50L-80L</v>
      </c>
    </row>
    <row r="866" spans="1:13" x14ac:dyDescent="0.25">
      <c r="A866" s="6" t="s">
        <v>906</v>
      </c>
      <c r="B866" s="7">
        <v>46218.459456018521</v>
      </c>
      <c r="C866" s="6" t="s">
        <v>20</v>
      </c>
      <c r="D866" s="6" t="s">
        <v>1061</v>
      </c>
      <c r="E866" s="6" t="s">
        <v>15</v>
      </c>
      <c r="F866" s="10">
        <v>3448648</v>
      </c>
      <c r="G866" s="6">
        <v>2</v>
      </c>
      <c r="H866" s="6" t="s">
        <v>37</v>
      </c>
      <c r="I866" s="6" t="s">
        <v>23</v>
      </c>
      <c r="J866" s="6" t="s">
        <v>23</v>
      </c>
      <c r="K866" s="6" t="s">
        <v>28</v>
      </c>
      <c r="L866" s="6"/>
      <c r="M866" s="6" t="str">
        <f t="shared" si="13"/>
        <v>30L-50L</v>
      </c>
    </row>
    <row r="867" spans="1:13" x14ac:dyDescent="0.25">
      <c r="A867" s="6" t="s">
        <v>907</v>
      </c>
      <c r="B867" s="7">
        <v>46218.685682870368</v>
      </c>
      <c r="C867" s="6" t="s">
        <v>20</v>
      </c>
      <c r="D867" s="6" t="s">
        <v>1061</v>
      </c>
      <c r="E867" s="6" t="s">
        <v>22</v>
      </c>
      <c r="F867" s="10">
        <v>8437587</v>
      </c>
      <c r="G867" s="6">
        <v>2</v>
      </c>
      <c r="H867" s="6" t="s">
        <v>16</v>
      </c>
      <c r="I867" s="6" t="s">
        <v>23</v>
      </c>
      <c r="J867" s="6" t="s">
        <v>23</v>
      </c>
      <c r="K867" s="6" t="s">
        <v>28</v>
      </c>
      <c r="L867" s="6"/>
      <c r="M867" s="6" t="str">
        <f t="shared" si="13"/>
        <v>80L-1.2Cr</v>
      </c>
    </row>
    <row r="868" spans="1:13" x14ac:dyDescent="0.25">
      <c r="A868" s="6" t="s">
        <v>908</v>
      </c>
      <c r="B868" s="7">
        <v>46218.911909722221</v>
      </c>
      <c r="C868" s="6" t="s">
        <v>13</v>
      </c>
      <c r="D868" s="6" t="s">
        <v>1059</v>
      </c>
      <c r="E868" s="6" t="s">
        <v>15</v>
      </c>
      <c r="F868" s="10">
        <v>5555812</v>
      </c>
      <c r="G868" s="6">
        <v>5</v>
      </c>
      <c r="H868" s="6" t="s">
        <v>16</v>
      </c>
      <c r="I868" s="6" t="s">
        <v>17</v>
      </c>
      <c r="J868" s="6" t="s">
        <v>23</v>
      </c>
      <c r="K868" s="6" t="s">
        <v>24</v>
      </c>
      <c r="L868" s="6"/>
      <c r="M868" s="6" t="str">
        <f t="shared" si="13"/>
        <v>50L-80L</v>
      </c>
    </row>
    <row r="869" spans="1:13" x14ac:dyDescent="0.25">
      <c r="A869" s="6" t="s">
        <v>909</v>
      </c>
      <c r="B869" s="7">
        <v>46219.138136574074</v>
      </c>
      <c r="C869" s="6" t="s">
        <v>13</v>
      </c>
      <c r="D869" s="6" t="s">
        <v>1059</v>
      </c>
      <c r="E869" s="6" t="s">
        <v>22</v>
      </c>
      <c r="F869" s="10">
        <v>7771503</v>
      </c>
      <c r="G869" s="6">
        <v>1</v>
      </c>
      <c r="H869" s="6" t="s">
        <v>16</v>
      </c>
      <c r="I869" s="6" t="s">
        <v>23</v>
      </c>
      <c r="J869" s="6" t="s">
        <v>17</v>
      </c>
      <c r="K869" s="6" t="s">
        <v>28</v>
      </c>
      <c r="L869" s="6"/>
      <c r="M869" s="6" t="str">
        <f t="shared" si="13"/>
        <v>50L-80L</v>
      </c>
    </row>
    <row r="870" spans="1:13" x14ac:dyDescent="0.25">
      <c r="A870" s="6" t="s">
        <v>910</v>
      </c>
      <c r="B870" s="7">
        <v>46219.364363425928</v>
      </c>
      <c r="C870" s="6" t="s">
        <v>36</v>
      </c>
      <c r="D870" s="6" t="s">
        <v>1059</v>
      </c>
      <c r="E870" s="6" t="s">
        <v>15</v>
      </c>
      <c r="F870" s="10">
        <v>6755494</v>
      </c>
      <c r="G870" s="6">
        <v>3</v>
      </c>
      <c r="H870" s="6" t="s">
        <v>16</v>
      </c>
      <c r="I870" s="6" t="s">
        <v>17</v>
      </c>
      <c r="J870" s="6" t="s">
        <v>17</v>
      </c>
      <c r="K870" s="6" t="s">
        <v>24</v>
      </c>
      <c r="L870" s="6"/>
      <c r="M870" s="6" t="str">
        <f t="shared" si="13"/>
        <v>50L-80L</v>
      </c>
    </row>
    <row r="871" spans="1:13" x14ac:dyDescent="0.25">
      <c r="A871" s="6" t="s">
        <v>911</v>
      </c>
      <c r="B871" s="7">
        <v>46219.590590277781</v>
      </c>
      <c r="C871" s="6" t="s">
        <v>33</v>
      </c>
      <c r="D871" s="6" t="s">
        <v>1062</v>
      </c>
      <c r="E871" s="6" t="s">
        <v>15</v>
      </c>
      <c r="F871" s="10">
        <v>6313936</v>
      </c>
      <c r="G871" s="6">
        <v>1</v>
      </c>
      <c r="H871" s="6" t="s">
        <v>16</v>
      </c>
      <c r="I871" s="6" t="s">
        <v>23</v>
      </c>
      <c r="J871" s="6" t="s">
        <v>17</v>
      </c>
      <c r="K871" s="6" t="s">
        <v>28</v>
      </c>
      <c r="L871" s="6"/>
      <c r="M871" s="6" t="str">
        <f t="shared" si="13"/>
        <v>50L-80L</v>
      </c>
    </row>
    <row r="872" spans="1:13" x14ac:dyDescent="0.25">
      <c r="A872" s="6" t="s">
        <v>912</v>
      </c>
      <c r="B872" s="7">
        <v>46219.816817129627</v>
      </c>
      <c r="C872" s="6" t="s">
        <v>26</v>
      </c>
      <c r="D872" s="6" t="s">
        <v>1063</v>
      </c>
      <c r="E872" s="6" t="s">
        <v>27</v>
      </c>
      <c r="F872" s="10">
        <v>2247948</v>
      </c>
      <c r="G872" s="6">
        <v>2</v>
      </c>
      <c r="H872" s="6" t="s">
        <v>16</v>
      </c>
      <c r="I872" s="6" t="s">
        <v>17</v>
      </c>
      <c r="J872" s="6" t="s">
        <v>23</v>
      </c>
      <c r="K872" s="6" t="s">
        <v>18</v>
      </c>
      <c r="L872" s="6">
        <v>2350000</v>
      </c>
      <c r="M872" s="6" t="str">
        <f t="shared" si="13"/>
        <v>Below 30L</v>
      </c>
    </row>
    <row r="873" spans="1:13" x14ac:dyDescent="0.25">
      <c r="A873" s="6" t="s">
        <v>913</v>
      </c>
      <c r="B873" s="7">
        <v>46220.043043981481</v>
      </c>
      <c r="C873" s="6" t="s">
        <v>26</v>
      </c>
      <c r="D873" s="6" t="s">
        <v>1059</v>
      </c>
      <c r="E873" s="6" t="s">
        <v>27</v>
      </c>
      <c r="F873" s="10">
        <v>2728312</v>
      </c>
      <c r="G873" s="6">
        <v>3</v>
      </c>
      <c r="H873" s="6" t="s">
        <v>37</v>
      </c>
      <c r="I873" s="6" t="s">
        <v>23</v>
      </c>
      <c r="J873" s="6" t="s">
        <v>23</v>
      </c>
      <c r="K873" s="6" t="s">
        <v>28</v>
      </c>
      <c r="L873" s="6"/>
      <c r="M873" s="6" t="str">
        <f t="shared" si="13"/>
        <v>Below 30L</v>
      </c>
    </row>
    <row r="874" spans="1:13" x14ac:dyDescent="0.25">
      <c r="A874" s="6" t="s">
        <v>914</v>
      </c>
      <c r="B874" s="7">
        <v>46220.269270833334</v>
      </c>
      <c r="C874" s="6" t="s">
        <v>30</v>
      </c>
      <c r="D874" s="6" t="s">
        <v>1060</v>
      </c>
      <c r="E874" s="6" t="s">
        <v>27</v>
      </c>
      <c r="F874" s="10">
        <v>2967217</v>
      </c>
      <c r="G874" s="6">
        <v>2</v>
      </c>
      <c r="H874" s="6" t="s">
        <v>16</v>
      </c>
      <c r="I874" s="6" t="s">
        <v>17</v>
      </c>
      <c r="J874" s="6" t="s">
        <v>23</v>
      </c>
      <c r="K874" s="6" t="s">
        <v>24</v>
      </c>
      <c r="L874" s="6"/>
      <c r="M874" s="6" t="str">
        <f t="shared" si="13"/>
        <v>Below 30L</v>
      </c>
    </row>
    <row r="875" spans="1:13" x14ac:dyDescent="0.25">
      <c r="A875" s="6" t="s">
        <v>915</v>
      </c>
      <c r="B875" s="7">
        <v>46220.495497685188</v>
      </c>
      <c r="C875" s="6" t="s">
        <v>20</v>
      </c>
      <c r="D875" s="6" t="s">
        <v>1063</v>
      </c>
      <c r="E875" s="6" t="s">
        <v>15</v>
      </c>
      <c r="F875" s="10">
        <v>5787234</v>
      </c>
      <c r="G875" s="6">
        <v>2</v>
      </c>
      <c r="H875" s="6" t="s">
        <v>37</v>
      </c>
      <c r="I875" s="6" t="s">
        <v>23</v>
      </c>
      <c r="J875" s="6" t="s">
        <v>23</v>
      </c>
      <c r="K875" s="6" t="s">
        <v>28</v>
      </c>
      <c r="L875" s="6"/>
      <c r="M875" s="6" t="str">
        <f t="shared" si="13"/>
        <v>50L-80L</v>
      </c>
    </row>
    <row r="876" spans="1:13" x14ac:dyDescent="0.25">
      <c r="A876" s="6" t="s">
        <v>916</v>
      </c>
      <c r="B876" s="7">
        <v>46220.721724537034</v>
      </c>
      <c r="C876" s="6" t="s">
        <v>13</v>
      </c>
      <c r="D876" s="6" t="s">
        <v>1062</v>
      </c>
      <c r="E876" s="6" t="s">
        <v>22</v>
      </c>
      <c r="F876" s="10">
        <v>8756813</v>
      </c>
      <c r="G876" s="6">
        <v>1</v>
      </c>
      <c r="H876" s="6" t="s">
        <v>16</v>
      </c>
      <c r="I876" s="6" t="s">
        <v>23</v>
      </c>
      <c r="J876" s="6" t="s">
        <v>23</v>
      </c>
      <c r="K876" s="6" t="s">
        <v>28</v>
      </c>
      <c r="L876" s="6"/>
      <c r="M876" s="6" t="str">
        <f t="shared" si="13"/>
        <v>80L-1.2Cr</v>
      </c>
    </row>
    <row r="877" spans="1:13" x14ac:dyDescent="0.25">
      <c r="A877" s="6" t="s">
        <v>917</v>
      </c>
      <c r="B877" s="7">
        <v>46220.947951388887</v>
      </c>
      <c r="C877" s="6" t="s">
        <v>13</v>
      </c>
      <c r="D877" s="6" t="s">
        <v>1060</v>
      </c>
      <c r="E877" s="6" t="s">
        <v>15</v>
      </c>
      <c r="F877" s="10">
        <v>4804959</v>
      </c>
      <c r="G877" s="6">
        <v>2</v>
      </c>
      <c r="H877" s="6" t="s">
        <v>16</v>
      </c>
      <c r="I877" s="6" t="s">
        <v>23</v>
      </c>
      <c r="J877" s="6" t="s">
        <v>23</v>
      </c>
      <c r="K877" s="6" t="s">
        <v>28</v>
      </c>
      <c r="L877" s="6"/>
      <c r="M877" s="6" t="str">
        <f t="shared" si="13"/>
        <v>30L-50L</v>
      </c>
    </row>
    <row r="878" spans="1:13" x14ac:dyDescent="0.25">
      <c r="A878" s="6" t="s">
        <v>918</v>
      </c>
      <c r="B878" s="7">
        <v>46221.174178240741</v>
      </c>
      <c r="C878" s="6" t="s">
        <v>30</v>
      </c>
      <c r="D878" s="6" t="s">
        <v>1060</v>
      </c>
      <c r="E878" s="6" t="s">
        <v>15</v>
      </c>
      <c r="F878" s="10">
        <v>4670957</v>
      </c>
      <c r="G878" s="6">
        <v>3</v>
      </c>
      <c r="H878" s="6" t="s">
        <v>37</v>
      </c>
      <c r="I878" s="6" t="s">
        <v>17</v>
      </c>
      <c r="J878" s="6" t="s">
        <v>23</v>
      </c>
      <c r="K878" s="6" t="s">
        <v>24</v>
      </c>
      <c r="L878" s="6"/>
      <c r="M878" s="6" t="str">
        <f t="shared" si="13"/>
        <v>30L-50L</v>
      </c>
    </row>
    <row r="879" spans="1:13" x14ac:dyDescent="0.25">
      <c r="A879" s="6" t="s">
        <v>919</v>
      </c>
      <c r="B879" s="7">
        <v>46221.400405092594</v>
      </c>
      <c r="C879" s="6" t="s">
        <v>30</v>
      </c>
      <c r="D879" s="6" t="s">
        <v>1060</v>
      </c>
      <c r="E879" s="6" t="s">
        <v>15</v>
      </c>
      <c r="F879" s="10">
        <v>4410808</v>
      </c>
      <c r="G879" s="6">
        <v>2</v>
      </c>
      <c r="H879" s="6" t="s">
        <v>16</v>
      </c>
      <c r="I879" s="6" t="s">
        <v>17</v>
      </c>
      <c r="J879" s="6" t="s">
        <v>17</v>
      </c>
      <c r="K879" s="6" t="s">
        <v>18</v>
      </c>
      <c r="L879" s="6">
        <v>4400000</v>
      </c>
      <c r="M879" s="6" t="str">
        <f t="shared" si="13"/>
        <v>30L-50L</v>
      </c>
    </row>
    <row r="880" spans="1:13" x14ac:dyDescent="0.25">
      <c r="A880" s="6" t="s">
        <v>920</v>
      </c>
      <c r="B880" s="7">
        <v>46221.626631944448</v>
      </c>
      <c r="C880" s="6" t="s">
        <v>13</v>
      </c>
      <c r="D880" s="6" t="s">
        <v>21</v>
      </c>
      <c r="E880" s="6" t="s">
        <v>22</v>
      </c>
      <c r="F880" s="10">
        <v>8521651</v>
      </c>
      <c r="G880" s="6">
        <v>5</v>
      </c>
      <c r="H880" s="6" t="s">
        <v>16</v>
      </c>
      <c r="I880" s="6" t="s">
        <v>17</v>
      </c>
      <c r="J880" s="6" t="s">
        <v>23</v>
      </c>
      <c r="K880" s="6" t="s">
        <v>24</v>
      </c>
      <c r="L880" s="6"/>
      <c r="M880" s="6" t="str">
        <f t="shared" si="13"/>
        <v>80L-1.2Cr</v>
      </c>
    </row>
    <row r="881" spans="1:13" x14ac:dyDescent="0.25">
      <c r="A881" s="6" t="s">
        <v>921</v>
      </c>
      <c r="B881" s="7">
        <v>46221.852847222224</v>
      </c>
      <c r="C881" s="6" t="s">
        <v>26</v>
      </c>
      <c r="D881" s="6" t="s">
        <v>1060</v>
      </c>
      <c r="E881" s="6" t="s">
        <v>15</v>
      </c>
      <c r="F881" s="10">
        <v>8373205</v>
      </c>
      <c r="G881" s="6">
        <v>3</v>
      </c>
      <c r="H881" s="6" t="s">
        <v>16</v>
      </c>
      <c r="I881" s="6" t="s">
        <v>23</v>
      </c>
      <c r="J881" s="6" t="s">
        <v>23</v>
      </c>
      <c r="K881" s="6" t="s">
        <v>28</v>
      </c>
      <c r="L881" s="6"/>
      <c r="M881" s="6" t="str">
        <f t="shared" si="13"/>
        <v>80L-1.2Cr</v>
      </c>
    </row>
    <row r="882" spans="1:13" x14ac:dyDescent="0.25">
      <c r="A882" s="6" t="s">
        <v>922</v>
      </c>
      <c r="B882" s="7">
        <v>46222.079074074078</v>
      </c>
      <c r="C882" s="6" t="s">
        <v>26</v>
      </c>
      <c r="D882" s="6" t="s">
        <v>1062</v>
      </c>
      <c r="E882" s="6" t="s">
        <v>15</v>
      </c>
      <c r="F882" s="10">
        <v>5316142</v>
      </c>
      <c r="G882" s="6">
        <v>2</v>
      </c>
      <c r="H882" s="6" t="s">
        <v>16</v>
      </c>
      <c r="I882" s="6" t="s">
        <v>23</v>
      </c>
      <c r="J882" s="6" t="s">
        <v>17</v>
      </c>
      <c r="K882" s="6" t="s">
        <v>18</v>
      </c>
      <c r="L882" s="6">
        <v>5000000</v>
      </c>
      <c r="M882" s="6" t="str">
        <f t="shared" si="13"/>
        <v>50L-80L</v>
      </c>
    </row>
    <row r="883" spans="1:13" x14ac:dyDescent="0.25">
      <c r="A883" s="6" t="s">
        <v>923</v>
      </c>
      <c r="B883" s="7">
        <v>46222.305300925924</v>
      </c>
      <c r="C883" s="6" t="s">
        <v>30</v>
      </c>
      <c r="D883" s="6" t="s">
        <v>1061</v>
      </c>
      <c r="E883" s="6" t="s">
        <v>27</v>
      </c>
      <c r="F883" s="10">
        <v>3206252</v>
      </c>
      <c r="G883" s="6">
        <v>1</v>
      </c>
      <c r="H883" s="6" t="s">
        <v>37</v>
      </c>
      <c r="I883" s="6" t="s">
        <v>17</v>
      </c>
      <c r="J883" s="6" t="s">
        <v>23</v>
      </c>
      <c r="K883" s="6" t="s">
        <v>24</v>
      </c>
      <c r="L883" s="6"/>
      <c r="M883" s="6" t="str">
        <f t="shared" si="13"/>
        <v>30L-50L</v>
      </c>
    </row>
    <row r="884" spans="1:13" x14ac:dyDescent="0.25">
      <c r="A884" s="6" t="s">
        <v>924</v>
      </c>
      <c r="B884" s="7">
        <v>46222.531527777777</v>
      </c>
      <c r="C884" s="6" t="s">
        <v>13</v>
      </c>
      <c r="D884" s="6" t="s">
        <v>1062</v>
      </c>
      <c r="E884" s="6" t="s">
        <v>15</v>
      </c>
      <c r="F884" s="10">
        <v>5987553</v>
      </c>
      <c r="G884" s="6">
        <v>2</v>
      </c>
      <c r="H884" s="6" t="s">
        <v>16</v>
      </c>
      <c r="I884" s="6" t="s">
        <v>23</v>
      </c>
      <c r="J884" s="6" t="s">
        <v>23</v>
      </c>
      <c r="K884" s="6" t="s">
        <v>28</v>
      </c>
      <c r="L884" s="6"/>
      <c r="M884" s="6" t="str">
        <f t="shared" si="13"/>
        <v>50L-80L</v>
      </c>
    </row>
    <row r="885" spans="1:13" x14ac:dyDescent="0.25">
      <c r="A885" s="6" t="s">
        <v>925</v>
      </c>
      <c r="B885" s="7">
        <v>46222.757754629631</v>
      </c>
      <c r="C885" s="6" t="s">
        <v>13</v>
      </c>
      <c r="D885" s="6" t="s">
        <v>1063</v>
      </c>
      <c r="E885" s="6" t="s">
        <v>15</v>
      </c>
      <c r="F885" s="10">
        <v>3830326</v>
      </c>
      <c r="G885" s="6">
        <v>4</v>
      </c>
      <c r="H885" s="6" t="s">
        <v>16</v>
      </c>
      <c r="I885" s="6" t="s">
        <v>17</v>
      </c>
      <c r="J885" s="6" t="s">
        <v>23</v>
      </c>
      <c r="K885" s="6" t="s">
        <v>24</v>
      </c>
      <c r="L885" s="6"/>
      <c r="M885" s="6" t="str">
        <f t="shared" si="13"/>
        <v>30L-50L</v>
      </c>
    </row>
    <row r="886" spans="1:13" x14ac:dyDescent="0.25">
      <c r="A886" s="6" t="s">
        <v>926</v>
      </c>
      <c r="B886" s="7">
        <v>46222.983981481484</v>
      </c>
      <c r="C886" s="6" t="s">
        <v>36</v>
      </c>
      <c r="D886" s="6" t="s">
        <v>1059</v>
      </c>
      <c r="E886" s="6" t="s">
        <v>15</v>
      </c>
      <c r="F886" s="10">
        <v>4818904</v>
      </c>
      <c r="G886" s="6">
        <v>2</v>
      </c>
      <c r="H886" s="6" t="s">
        <v>37</v>
      </c>
      <c r="I886" s="6" t="s">
        <v>23</v>
      </c>
      <c r="J886" s="6" t="s">
        <v>23</v>
      </c>
      <c r="K886" s="6" t="s">
        <v>28</v>
      </c>
      <c r="L886" s="6"/>
      <c r="M886" s="6" t="str">
        <f t="shared" si="13"/>
        <v>30L-50L</v>
      </c>
    </row>
    <row r="887" spans="1:13" x14ac:dyDescent="0.25">
      <c r="A887" s="6" t="s">
        <v>927</v>
      </c>
      <c r="B887" s="7">
        <v>46223.21020833333</v>
      </c>
      <c r="C887" s="6" t="s">
        <v>13</v>
      </c>
      <c r="D887" s="6" t="s">
        <v>1060</v>
      </c>
      <c r="E887" s="6" t="s">
        <v>27</v>
      </c>
      <c r="F887" s="10">
        <v>3894802</v>
      </c>
      <c r="G887" s="6">
        <v>4</v>
      </c>
      <c r="H887" s="6" t="s">
        <v>16</v>
      </c>
      <c r="I887" s="6" t="s">
        <v>23</v>
      </c>
      <c r="J887" s="6" t="s">
        <v>23</v>
      </c>
      <c r="K887" s="6" t="s">
        <v>28</v>
      </c>
      <c r="L887" s="6"/>
      <c r="M887" s="6" t="str">
        <f t="shared" si="13"/>
        <v>30L-50L</v>
      </c>
    </row>
    <row r="888" spans="1:13" x14ac:dyDescent="0.25">
      <c r="A888" s="6" t="s">
        <v>928</v>
      </c>
      <c r="B888" s="7">
        <v>46223.436435185184</v>
      </c>
      <c r="C888" s="6" t="s">
        <v>30</v>
      </c>
      <c r="D888" s="6" t="s">
        <v>1059</v>
      </c>
      <c r="E888" s="6" t="s">
        <v>15</v>
      </c>
      <c r="F888" s="10">
        <v>5314812</v>
      </c>
      <c r="G888" s="6">
        <v>2</v>
      </c>
      <c r="H888" s="6" t="s">
        <v>37</v>
      </c>
      <c r="I888" s="6" t="s">
        <v>23</v>
      </c>
      <c r="J888" s="6" t="s">
        <v>23</v>
      </c>
      <c r="K888" s="6" t="s">
        <v>28</v>
      </c>
      <c r="L888" s="6"/>
      <c r="M888" s="6" t="str">
        <f t="shared" si="13"/>
        <v>50L-80L</v>
      </c>
    </row>
    <row r="889" spans="1:13" x14ac:dyDescent="0.25">
      <c r="A889" s="6" t="s">
        <v>929</v>
      </c>
      <c r="B889" s="7">
        <v>46223.662662037037</v>
      </c>
      <c r="C889" s="6" t="s">
        <v>26</v>
      </c>
      <c r="D889" s="6" t="s">
        <v>1059</v>
      </c>
      <c r="E889" s="6" t="s">
        <v>15</v>
      </c>
      <c r="F889" s="10">
        <v>4008314</v>
      </c>
      <c r="G889" s="6">
        <v>4</v>
      </c>
      <c r="H889" s="6" t="s">
        <v>16</v>
      </c>
      <c r="I889" s="6" t="s">
        <v>23</v>
      </c>
      <c r="J889" s="6" t="s">
        <v>23</v>
      </c>
      <c r="K889" s="6" t="s">
        <v>28</v>
      </c>
      <c r="L889" s="6"/>
      <c r="M889" s="6" t="str">
        <f t="shared" si="13"/>
        <v>30L-50L</v>
      </c>
    </row>
    <row r="890" spans="1:13" x14ac:dyDescent="0.25">
      <c r="A890" s="6" t="s">
        <v>930</v>
      </c>
      <c r="B890" s="7">
        <v>46223.888888888891</v>
      </c>
      <c r="C890" s="6" t="s">
        <v>13</v>
      </c>
      <c r="D890" s="6" t="s">
        <v>1062</v>
      </c>
      <c r="E890" s="6" t="s">
        <v>27</v>
      </c>
      <c r="F890" s="10">
        <v>1938963</v>
      </c>
      <c r="G890" s="6">
        <v>1</v>
      </c>
      <c r="H890" s="6" t="s">
        <v>37</v>
      </c>
      <c r="I890" s="6" t="s">
        <v>23</v>
      </c>
      <c r="J890" s="6" t="s">
        <v>23</v>
      </c>
      <c r="K890" s="6" t="s">
        <v>28</v>
      </c>
      <c r="L890" s="6"/>
      <c r="M890" s="6" t="str">
        <f t="shared" si="13"/>
        <v>Below 30L</v>
      </c>
    </row>
    <row r="891" spans="1:13" x14ac:dyDescent="0.25">
      <c r="A891" s="6" t="s">
        <v>931</v>
      </c>
      <c r="B891" s="7">
        <v>46224.115115740744</v>
      </c>
      <c r="C891" s="6" t="s">
        <v>26</v>
      </c>
      <c r="D891" s="6" t="s">
        <v>1061</v>
      </c>
      <c r="E891" s="6" t="s">
        <v>27</v>
      </c>
      <c r="F891" s="10">
        <v>5201905</v>
      </c>
      <c r="G891" s="6">
        <v>5</v>
      </c>
      <c r="H891" s="6" t="s">
        <v>16</v>
      </c>
      <c r="I891" s="6" t="s">
        <v>23</v>
      </c>
      <c r="J891" s="6" t="s">
        <v>17</v>
      </c>
      <c r="K891" s="6" t="s">
        <v>28</v>
      </c>
      <c r="L891" s="6"/>
      <c r="M891" s="6" t="str">
        <f t="shared" si="13"/>
        <v>50L-80L</v>
      </c>
    </row>
    <row r="892" spans="1:13" x14ac:dyDescent="0.25">
      <c r="A892" s="6" t="s">
        <v>932</v>
      </c>
      <c r="B892" s="7">
        <v>46224.34134259259</v>
      </c>
      <c r="C892" s="6" t="s">
        <v>30</v>
      </c>
      <c r="D892" s="6" t="s">
        <v>1059</v>
      </c>
      <c r="E892" s="6" t="s">
        <v>15</v>
      </c>
      <c r="F892" s="10">
        <v>8602883</v>
      </c>
      <c r="G892" s="6">
        <v>2</v>
      </c>
      <c r="H892" s="6" t="s">
        <v>16</v>
      </c>
      <c r="I892" s="6" t="s">
        <v>17</v>
      </c>
      <c r="J892" s="6" t="s">
        <v>17</v>
      </c>
      <c r="K892" s="6" t="s">
        <v>24</v>
      </c>
      <c r="L892" s="6"/>
      <c r="M892" s="6" t="str">
        <f t="shared" si="13"/>
        <v>80L-1.2Cr</v>
      </c>
    </row>
    <row r="893" spans="1:13" x14ac:dyDescent="0.25">
      <c r="A893" s="6" t="s">
        <v>933</v>
      </c>
      <c r="B893" s="7">
        <v>46224.567569444444</v>
      </c>
      <c r="C893" s="6" t="s">
        <v>36</v>
      </c>
      <c r="D893" s="6" t="s">
        <v>21</v>
      </c>
      <c r="E893" s="6" t="s">
        <v>22</v>
      </c>
      <c r="F893" s="10">
        <v>7699660</v>
      </c>
      <c r="G893" s="6">
        <v>2</v>
      </c>
      <c r="H893" s="6" t="s">
        <v>37</v>
      </c>
      <c r="I893" s="6" t="s">
        <v>23</v>
      </c>
      <c r="J893" s="6" t="s">
        <v>23</v>
      </c>
      <c r="K893" s="6" t="s">
        <v>28</v>
      </c>
      <c r="L893" s="6"/>
      <c r="M893" s="6" t="str">
        <f t="shared" si="13"/>
        <v>50L-80L</v>
      </c>
    </row>
    <row r="894" spans="1:13" x14ac:dyDescent="0.25">
      <c r="A894" s="6" t="s">
        <v>934</v>
      </c>
      <c r="B894" s="7">
        <v>46224.793796296297</v>
      </c>
      <c r="C894" s="6" t="s">
        <v>36</v>
      </c>
      <c r="D894" s="6" t="s">
        <v>1063</v>
      </c>
      <c r="E894" s="6" t="s">
        <v>22</v>
      </c>
      <c r="F894" s="10">
        <v>9328412</v>
      </c>
      <c r="G894" s="6">
        <v>2</v>
      </c>
      <c r="H894" s="6" t="s">
        <v>16</v>
      </c>
      <c r="I894" s="6" t="s">
        <v>17</v>
      </c>
      <c r="J894" s="6" t="s">
        <v>23</v>
      </c>
      <c r="K894" s="6" t="s">
        <v>24</v>
      </c>
      <c r="L894" s="6"/>
      <c r="M894" s="6" t="str">
        <f t="shared" si="13"/>
        <v>80L-1.2Cr</v>
      </c>
    </row>
    <row r="895" spans="1:13" x14ac:dyDescent="0.25">
      <c r="A895" s="6" t="s">
        <v>935</v>
      </c>
      <c r="B895" s="7">
        <v>46225.02002314815</v>
      </c>
      <c r="C895" s="6" t="s">
        <v>26</v>
      </c>
      <c r="D895" s="6" t="s">
        <v>1059</v>
      </c>
      <c r="E895" s="6" t="s">
        <v>22</v>
      </c>
      <c r="F895" s="10">
        <v>13939984</v>
      </c>
      <c r="G895" s="6">
        <v>2</v>
      </c>
      <c r="H895" s="6" t="s">
        <v>16</v>
      </c>
      <c r="I895" s="6" t="s">
        <v>23</v>
      </c>
      <c r="J895" s="6" t="s">
        <v>17</v>
      </c>
      <c r="K895" s="6" t="s">
        <v>28</v>
      </c>
      <c r="L895" s="6"/>
      <c r="M895" s="6" t="str">
        <f t="shared" si="13"/>
        <v>Above 1.2Cr</v>
      </c>
    </row>
    <row r="896" spans="1:13" x14ac:dyDescent="0.25">
      <c r="A896" s="6" t="s">
        <v>936</v>
      </c>
      <c r="B896" s="7">
        <v>46225.246249999997</v>
      </c>
      <c r="C896" s="6" t="s">
        <v>30</v>
      </c>
      <c r="D896" s="6" t="s">
        <v>1060</v>
      </c>
      <c r="E896" s="6" t="s">
        <v>15</v>
      </c>
      <c r="F896" s="10">
        <v>6069187</v>
      </c>
      <c r="G896" s="6">
        <v>6</v>
      </c>
      <c r="H896" s="6" t="s">
        <v>16</v>
      </c>
      <c r="I896" s="6" t="s">
        <v>17</v>
      </c>
      <c r="J896" s="6" t="s">
        <v>17</v>
      </c>
      <c r="K896" s="6" t="s">
        <v>18</v>
      </c>
      <c r="L896" s="6">
        <v>6150000</v>
      </c>
      <c r="M896" s="6" t="str">
        <f t="shared" si="13"/>
        <v>50L-80L</v>
      </c>
    </row>
    <row r="897" spans="1:13" x14ac:dyDescent="0.25">
      <c r="A897" s="6" t="s">
        <v>937</v>
      </c>
      <c r="B897" s="7">
        <v>46225.47247685185</v>
      </c>
      <c r="C897" s="6" t="s">
        <v>26</v>
      </c>
      <c r="D897" s="6" t="s">
        <v>1062</v>
      </c>
      <c r="E897" s="6" t="s">
        <v>27</v>
      </c>
      <c r="F897" s="10">
        <v>2347405</v>
      </c>
      <c r="G897" s="6">
        <v>1</v>
      </c>
      <c r="H897" s="6" t="s">
        <v>16</v>
      </c>
      <c r="I897" s="6" t="s">
        <v>17</v>
      </c>
      <c r="J897" s="6" t="s">
        <v>17</v>
      </c>
      <c r="K897" s="6" t="s">
        <v>18</v>
      </c>
      <c r="L897" s="6">
        <v>2400000</v>
      </c>
      <c r="M897" s="6" t="str">
        <f t="shared" si="13"/>
        <v>Below 30L</v>
      </c>
    </row>
    <row r="898" spans="1:13" x14ac:dyDescent="0.25">
      <c r="A898" s="6" t="s">
        <v>938</v>
      </c>
      <c r="B898" s="7">
        <v>46225.698703703703</v>
      </c>
      <c r="C898" s="6" t="s">
        <v>26</v>
      </c>
      <c r="D898" s="6" t="s">
        <v>1062</v>
      </c>
      <c r="E898" s="6" t="s">
        <v>15</v>
      </c>
      <c r="F898" s="10">
        <v>3828854</v>
      </c>
      <c r="G898" s="6">
        <v>1</v>
      </c>
      <c r="H898" s="6" t="s">
        <v>37</v>
      </c>
      <c r="I898" s="6" t="s">
        <v>17</v>
      </c>
      <c r="J898" s="6" t="s">
        <v>17</v>
      </c>
      <c r="K898" s="6" t="s">
        <v>24</v>
      </c>
      <c r="L898" s="6"/>
      <c r="M898" s="6" t="str">
        <f t="shared" ref="M898:M961" si="14">IF(F898&lt;3000000,"Below 30L",IF(F898&lt;5000000,"30L-50L",IF(F898&lt;8000000,"50L-80L",IF(F898&lt;12000000,"80L-1.2Cr","Above 1.2Cr"))))</f>
        <v>30L-50L</v>
      </c>
    </row>
    <row r="899" spans="1:13" x14ac:dyDescent="0.25">
      <c r="A899" s="6" t="s">
        <v>939</v>
      </c>
      <c r="B899" s="7">
        <v>46225.924930555557</v>
      </c>
      <c r="C899" s="6" t="s">
        <v>36</v>
      </c>
      <c r="D899" s="6" t="s">
        <v>1059</v>
      </c>
      <c r="E899" s="6" t="s">
        <v>15</v>
      </c>
      <c r="F899" s="10">
        <v>8468922</v>
      </c>
      <c r="G899" s="6">
        <v>3</v>
      </c>
      <c r="H899" s="6" t="s">
        <v>37</v>
      </c>
      <c r="I899" s="6" t="s">
        <v>17</v>
      </c>
      <c r="J899" s="6" t="s">
        <v>23</v>
      </c>
      <c r="K899" s="6" t="s">
        <v>24</v>
      </c>
      <c r="L899" s="6"/>
      <c r="M899" s="6" t="str">
        <f t="shared" si="14"/>
        <v>80L-1.2Cr</v>
      </c>
    </row>
    <row r="900" spans="1:13" x14ac:dyDescent="0.25">
      <c r="A900" s="6" t="s">
        <v>940</v>
      </c>
      <c r="B900" s="7">
        <v>46226.151145833333</v>
      </c>
      <c r="C900" s="6" t="s">
        <v>13</v>
      </c>
      <c r="D900" s="6" t="s">
        <v>21</v>
      </c>
      <c r="E900" s="6" t="s">
        <v>15</v>
      </c>
      <c r="F900" s="10">
        <v>7882297</v>
      </c>
      <c r="G900" s="6">
        <v>2</v>
      </c>
      <c r="H900" s="6" t="s">
        <v>16</v>
      </c>
      <c r="I900" s="6" t="s">
        <v>17</v>
      </c>
      <c r="J900" s="6" t="s">
        <v>23</v>
      </c>
      <c r="K900" s="6" t="s">
        <v>18</v>
      </c>
      <c r="L900" s="6">
        <v>7950000</v>
      </c>
      <c r="M900" s="6" t="str">
        <f t="shared" si="14"/>
        <v>50L-80L</v>
      </c>
    </row>
    <row r="901" spans="1:13" x14ac:dyDescent="0.25">
      <c r="A901" s="6" t="s">
        <v>941</v>
      </c>
      <c r="B901" s="7">
        <v>46226.377372685187</v>
      </c>
      <c r="C901" s="6" t="s">
        <v>13</v>
      </c>
      <c r="D901" s="6" t="s">
        <v>1063</v>
      </c>
      <c r="E901" s="6" t="s">
        <v>15</v>
      </c>
      <c r="F901" s="10">
        <v>3410226</v>
      </c>
      <c r="G901" s="6">
        <v>3</v>
      </c>
      <c r="H901" s="6" t="s">
        <v>16</v>
      </c>
      <c r="I901" s="6" t="s">
        <v>23</v>
      </c>
      <c r="J901" s="6" t="s">
        <v>23</v>
      </c>
      <c r="K901" s="6" t="s">
        <v>28</v>
      </c>
      <c r="L901" s="6"/>
      <c r="M901" s="6" t="str">
        <f t="shared" si="14"/>
        <v>30L-50L</v>
      </c>
    </row>
    <row r="902" spans="1:13" x14ac:dyDescent="0.25">
      <c r="A902" s="6" t="s">
        <v>942</v>
      </c>
      <c r="B902" s="7">
        <v>46226.60359953704</v>
      </c>
      <c r="C902" s="6" t="s">
        <v>26</v>
      </c>
      <c r="D902" s="6" t="s">
        <v>1060</v>
      </c>
      <c r="E902" s="6" t="s">
        <v>15</v>
      </c>
      <c r="F902" s="10">
        <v>6235595</v>
      </c>
      <c r="G902" s="6">
        <v>3</v>
      </c>
      <c r="H902" s="6" t="s">
        <v>16</v>
      </c>
      <c r="I902" s="6" t="s">
        <v>23</v>
      </c>
      <c r="J902" s="6" t="s">
        <v>17</v>
      </c>
      <c r="K902" s="6" t="s">
        <v>28</v>
      </c>
      <c r="L902" s="6"/>
      <c r="M902" s="6" t="str">
        <f t="shared" si="14"/>
        <v>50L-80L</v>
      </c>
    </row>
    <row r="903" spans="1:13" x14ac:dyDescent="0.25">
      <c r="A903" s="6" t="s">
        <v>943</v>
      </c>
      <c r="B903" s="7">
        <v>46226.829826388886</v>
      </c>
      <c r="C903" s="6" t="s">
        <v>13</v>
      </c>
      <c r="D903" s="6" t="s">
        <v>1059</v>
      </c>
      <c r="E903" s="6" t="s">
        <v>22</v>
      </c>
      <c r="F903" s="10">
        <v>9156736</v>
      </c>
      <c r="G903" s="6">
        <v>2</v>
      </c>
      <c r="H903" s="6" t="s">
        <v>16</v>
      </c>
      <c r="I903" s="6" t="s">
        <v>17</v>
      </c>
      <c r="J903" s="6" t="s">
        <v>17</v>
      </c>
      <c r="K903" s="6" t="s">
        <v>24</v>
      </c>
      <c r="L903" s="6"/>
      <c r="M903" s="6" t="str">
        <f t="shared" si="14"/>
        <v>80L-1.2Cr</v>
      </c>
    </row>
    <row r="904" spans="1:13" x14ac:dyDescent="0.25">
      <c r="A904" s="6" t="s">
        <v>944</v>
      </c>
      <c r="B904" s="7">
        <v>46227.05605324074</v>
      </c>
      <c r="C904" s="6" t="s">
        <v>13</v>
      </c>
      <c r="D904" s="6" t="s">
        <v>1063</v>
      </c>
      <c r="E904" s="6" t="s">
        <v>15</v>
      </c>
      <c r="F904" s="10">
        <v>3131562</v>
      </c>
      <c r="G904" s="6">
        <v>5</v>
      </c>
      <c r="H904" s="6" t="s">
        <v>37</v>
      </c>
      <c r="I904" s="6" t="s">
        <v>23</v>
      </c>
      <c r="J904" s="6" t="s">
        <v>23</v>
      </c>
      <c r="K904" s="6" t="s">
        <v>28</v>
      </c>
      <c r="L904" s="6"/>
      <c r="M904" s="6" t="str">
        <f t="shared" si="14"/>
        <v>30L-50L</v>
      </c>
    </row>
    <row r="905" spans="1:13" x14ac:dyDescent="0.25">
      <c r="A905" s="6" t="s">
        <v>945</v>
      </c>
      <c r="B905" s="7">
        <v>46227.282280092593</v>
      </c>
      <c r="C905" s="6" t="s">
        <v>30</v>
      </c>
      <c r="D905" s="6" t="s">
        <v>1059</v>
      </c>
      <c r="E905" s="6" t="s">
        <v>15</v>
      </c>
      <c r="F905" s="10">
        <v>3642510</v>
      </c>
      <c r="G905" s="6">
        <v>2</v>
      </c>
      <c r="H905" s="6" t="s">
        <v>16</v>
      </c>
      <c r="I905" s="6" t="s">
        <v>23</v>
      </c>
      <c r="J905" s="6" t="s">
        <v>23</v>
      </c>
      <c r="K905" s="6" t="s">
        <v>28</v>
      </c>
      <c r="L905" s="6"/>
      <c r="M905" s="6" t="str">
        <f t="shared" si="14"/>
        <v>30L-50L</v>
      </c>
    </row>
    <row r="906" spans="1:13" x14ac:dyDescent="0.25">
      <c r="A906" s="6" t="s">
        <v>946</v>
      </c>
      <c r="B906" s="7">
        <v>46227.508506944447</v>
      </c>
      <c r="C906" s="6" t="s">
        <v>20</v>
      </c>
      <c r="D906" s="6" t="s">
        <v>1063</v>
      </c>
      <c r="E906" s="6" t="s">
        <v>15</v>
      </c>
      <c r="F906" s="10">
        <v>3258360</v>
      </c>
      <c r="G906" s="6">
        <v>1</v>
      </c>
      <c r="H906" s="6" t="s">
        <v>16</v>
      </c>
      <c r="I906" s="6" t="s">
        <v>17</v>
      </c>
      <c r="J906" s="6" t="s">
        <v>23</v>
      </c>
      <c r="K906" s="6" t="s">
        <v>24</v>
      </c>
      <c r="L906" s="6"/>
      <c r="M906" s="6" t="str">
        <f t="shared" si="14"/>
        <v>30L-50L</v>
      </c>
    </row>
    <row r="907" spans="1:13" x14ac:dyDescent="0.25">
      <c r="A907" s="6" t="s">
        <v>947</v>
      </c>
      <c r="B907" s="7">
        <v>46227.734733796293</v>
      </c>
      <c r="C907" s="6" t="s">
        <v>36</v>
      </c>
      <c r="D907" s="6" t="s">
        <v>1059</v>
      </c>
      <c r="E907" s="6" t="s">
        <v>15</v>
      </c>
      <c r="F907" s="10">
        <v>3296794</v>
      </c>
      <c r="G907" s="6">
        <v>4</v>
      </c>
      <c r="H907" s="6" t="s">
        <v>16</v>
      </c>
      <c r="I907" s="6" t="s">
        <v>23</v>
      </c>
      <c r="J907" s="6" t="s">
        <v>17</v>
      </c>
      <c r="K907" s="6" t="s">
        <v>18</v>
      </c>
      <c r="L907" s="6">
        <v>3100000</v>
      </c>
      <c r="M907" s="6" t="str">
        <f t="shared" si="14"/>
        <v>30L-50L</v>
      </c>
    </row>
    <row r="908" spans="1:13" x14ac:dyDescent="0.25">
      <c r="A908" s="6" t="s">
        <v>948</v>
      </c>
      <c r="B908" s="7">
        <v>46227.960960648146</v>
      </c>
      <c r="C908" s="6" t="s">
        <v>36</v>
      </c>
      <c r="D908" s="6" t="s">
        <v>1061</v>
      </c>
      <c r="E908" s="6" t="s">
        <v>27</v>
      </c>
      <c r="F908" s="10">
        <v>3628178</v>
      </c>
      <c r="G908" s="6">
        <v>3</v>
      </c>
      <c r="H908" s="6" t="s">
        <v>37</v>
      </c>
      <c r="I908" s="6" t="s">
        <v>17</v>
      </c>
      <c r="J908" s="6" t="s">
        <v>23</v>
      </c>
      <c r="K908" s="6" t="s">
        <v>24</v>
      </c>
      <c r="L908" s="6"/>
      <c r="M908" s="6" t="str">
        <f t="shared" si="14"/>
        <v>30L-50L</v>
      </c>
    </row>
    <row r="909" spans="1:13" x14ac:dyDescent="0.25">
      <c r="A909" s="6" t="s">
        <v>949</v>
      </c>
      <c r="B909" s="7">
        <v>46228.1871875</v>
      </c>
      <c r="C909" s="6" t="s">
        <v>26</v>
      </c>
      <c r="D909" s="6" t="s">
        <v>21</v>
      </c>
      <c r="E909" s="6" t="s">
        <v>15</v>
      </c>
      <c r="F909" s="10">
        <v>4274535</v>
      </c>
      <c r="G909" s="6">
        <v>2</v>
      </c>
      <c r="H909" s="6" t="s">
        <v>37</v>
      </c>
      <c r="I909" s="6" t="s">
        <v>23</v>
      </c>
      <c r="J909" s="6" t="s">
        <v>23</v>
      </c>
      <c r="K909" s="6" t="s">
        <v>28</v>
      </c>
      <c r="L909" s="6"/>
      <c r="M909" s="6" t="str">
        <f t="shared" si="14"/>
        <v>30L-50L</v>
      </c>
    </row>
    <row r="910" spans="1:13" x14ac:dyDescent="0.25">
      <c r="A910" s="6" t="s">
        <v>950</v>
      </c>
      <c r="B910" s="7">
        <v>46228.413414351853</v>
      </c>
      <c r="C910" s="6" t="s">
        <v>26</v>
      </c>
      <c r="D910" s="6" t="s">
        <v>21</v>
      </c>
      <c r="E910" s="6" t="s">
        <v>15</v>
      </c>
      <c r="F910" s="10">
        <v>4488303</v>
      </c>
      <c r="G910" s="6">
        <v>3</v>
      </c>
      <c r="H910" s="6" t="s">
        <v>16</v>
      </c>
      <c r="I910" s="6" t="s">
        <v>17</v>
      </c>
      <c r="J910" s="6" t="s">
        <v>17</v>
      </c>
      <c r="K910" s="6" t="s">
        <v>24</v>
      </c>
      <c r="L910" s="6"/>
      <c r="M910" s="6" t="str">
        <f t="shared" si="14"/>
        <v>30L-50L</v>
      </c>
    </row>
    <row r="911" spans="1:13" x14ac:dyDescent="0.25">
      <c r="A911" s="6" t="s">
        <v>951</v>
      </c>
      <c r="B911" s="7">
        <v>46228.639641203707</v>
      </c>
      <c r="C911" s="6" t="s">
        <v>26</v>
      </c>
      <c r="D911" s="6" t="s">
        <v>1059</v>
      </c>
      <c r="E911" s="6" t="s">
        <v>15</v>
      </c>
      <c r="F911" s="10">
        <v>6304934</v>
      </c>
      <c r="G911" s="6">
        <v>1</v>
      </c>
      <c r="H911" s="6" t="s">
        <v>16</v>
      </c>
      <c r="I911" s="6" t="s">
        <v>23</v>
      </c>
      <c r="J911" s="6" t="s">
        <v>23</v>
      </c>
      <c r="K911" s="6" t="s">
        <v>28</v>
      </c>
      <c r="L911" s="6"/>
      <c r="M911" s="6" t="str">
        <f t="shared" si="14"/>
        <v>50L-80L</v>
      </c>
    </row>
    <row r="912" spans="1:13" x14ac:dyDescent="0.25">
      <c r="A912" s="6" t="s">
        <v>952</v>
      </c>
      <c r="B912" s="7">
        <v>46228.865868055553</v>
      </c>
      <c r="C912" s="6" t="s">
        <v>30</v>
      </c>
      <c r="D912" s="6" t="s">
        <v>21</v>
      </c>
      <c r="E912" s="6" t="s">
        <v>15</v>
      </c>
      <c r="F912" s="10">
        <v>3463092</v>
      </c>
      <c r="G912" s="6">
        <v>2</v>
      </c>
      <c r="H912" s="6" t="s">
        <v>37</v>
      </c>
      <c r="I912" s="6" t="s">
        <v>17</v>
      </c>
      <c r="J912" s="6" t="s">
        <v>23</v>
      </c>
      <c r="K912" s="6" t="s">
        <v>24</v>
      </c>
      <c r="L912" s="6"/>
      <c r="M912" s="6" t="str">
        <f t="shared" si="14"/>
        <v>30L-50L</v>
      </c>
    </row>
    <row r="913" spans="1:13" x14ac:dyDescent="0.25">
      <c r="A913" s="6" t="s">
        <v>953</v>
      </c>
      <c r="B913" s="7">
        <v>46229.092094907406</v>
      </c>
      <c r="C913" s="6" t="s">
        <v>26</v>
      </c>
      <c r="D913" s="6" t="s">
        <v>1061</v>
      </c>
      <c r="E913" s="6" t="s">
        <v>15</v>
      </c>
      <c r="F913" s="10">
        <v>5982527</v>
      </c>
      <c r="G913" s="6">
        <v>5</v>
      </c>
      <c r="H913" s="6" t="s">
        <v>16</v>
      </c>
      <c r="I913" s="6" t="s">
        <v>17</v>
      </c>
      <c r="J913" s="6" t="s">
        <v>17</v>
      </c>
      <c r="K913" s="6" t="s">
        <v>18</v>
      </c>
      <c r="L913" s="6">
        <v>5800000</v>
      </c>
      <c r="M913" s="6" t="str">
        <f t="shared" si="14"/>
        <v>50L-80L</v>
      </c>
    </row>
    <row r="914" spans="1:13" x14ac:dyDescent="0.25">
      <c r="A914" s="6" t="s">
        <v>954</v>
      </c>
      <c r="B914" s="7">
        <v>46229.31832175926</v>
      </c>
      <c r="C914" s="6" t="s">
        <v>30</v>
      </c>
      <c r="D914" s="6" t="s">
        <v>1061</v>
      </c>
      <c r="E914" s="6" t="s">
        <v>22</v>
      </c>
      <c r="F914" s="10">
        <v>8060583</v>
      </c>
      <c r="G914" s="6">
        <v>1</v>
      </c>
      <c r="H914" s="6" t="s">
        <v>16</v>
      </c>
      <c r="I914" s="6" t="s">
        <v>17</v>
      </c>
      <c r="J914" s="6" t="s">
        <v>23</v>
      </c>
      <c r="K914" s="6" t="s">
        <v>24</v>
      </c>
      <c r="L914" s="6"/>
      <c r="M914" s="6" t="str">
        <f t="shared" si="14"/>
        <v>80L-1.2Cr</v>
      </c>
    </row>
    <row r="915" spans="1:13" x14ac:dyDescent="0.25">
      <c r="A915" s="6" t="s">
        <v>955</v>
      </c>
      <c r="B915" s="7">
        <v>46229.544548611113</v>
      </c>
      <c r="C915" s="6" t="s">
        <v>20</v>
      </c>
      <c r="D915" s="6" t="s">
        <v>21</v>
      </c>
      <c r="E915" s="6" t="s">
        <v>27</v>
      </c>
      <c r="F915" s="10">
        <v>4652301</v>
      </c>
      <c r="G915" s="6">
        <v>2</v>
      </c>
      <c r="H915" s="6" t="s">
        <v>16</v>
      </c>
      <c r="I915" s="6" t="s">
        <v>17</v>
      </c>
      <c r="J915" s="6" t="s">
        <v>17</v>
      </c>
      <c r="K915" s="6" t="s">
        <v>24</v>
      </c>
      <c r="L915" s="6"/>
      <c r="M915" s="6" t="str">
        <f t="shared" si="14"/>
        <v>30L-50L</v>
      </c>
    </row>
    <row r="916" spans="1:13" x14ac:dyDescent="0.25">
      <c r="A916" s="6" t="s">
        <v>956</v>
      </c>
      <c r="B916" s="7">
        <v>46229.770775462966</v>
      </c>
      <c r="C916" s="6" t="s">
        <v>20</v>
      </c>
      <c r="D916" s="6" t="s">
        <v>1060</v>
      </c>
      <c r="E916" s="6" t="s">
        <v>15</v>
      </c>
      <c r="F916" s="10">
        <v>3440420</v>
      </c>
      <c r="G916" s="6">
        <v>4</v>
      </c>
      <c r="H916" s="6" t="s">
        <v>16</v>
      </c>
      <c r="I916" s="6" t="s">
        <v>23</v>
      </c>
      <c r="J916" s="6" t="s">
        <v>23</v>
      </c>
      <c r="K916" s="6" t="s">
        <v>28</v>
      </c>
      <c r="L916" s="6"/>
      <c r="M916" s="6" t="str">
        <f t="shared" si="14"/>
        <v>30L-50L</v>
      </c>
    </row>
    <row r="917" spans="1:13" x14ac:dyDescent="0.25">
      <c r="A917" s="6" t="s">
        <v>957</v>
      </c>
      <c r="B917" s="7">
        <v>46229.997002314813</v>
      </c>
      <c r="C917" s="6" t="s">
        <v>20</v>
      </c>
      <c r="D917" s="6" t="s">
        <v>1062</v>
      </c>
      <c r="E917" s="6" t="s">
        <v>22</v>
      </c>
      <c r="F917" s="10">
        <v>13640028</v>
      </c>
      <c r="G917" s="6">
        <v>6</v>
      </c>
      <c r="H917" s="6" t="s">
        <v>16</v>
      </c>
      <c r="I917" s="6" t="s">
        <v>17</v>
      </c>
      <c r="J917" s="6" t="s">
        <v>23</v>
      </c>
      <c r="K917" s="6" t="s">
        <v>24</v>
      </c>
      <c r="L917" s="6"/>
      <c r="M917" s="6" t="str">
        <f t="shared" si="14"/>
        <v>Above 1.2Cr</v>
      </c>
    </row>
    <row r="918" spans="1:13" x14ac:dyDescent="0.25">
      <c r="A918" s="6" t="s">
        <v>958</v>
      </c>
      <c r="B918" s="7">
        <v>46230.223217592589</v>
      </c>
      <c r="C918" s="6" t="s">
        <v>26</v>
      </c>
      <c r="D918" s="6" t="s">
        <v>1061</v>
      </c>
      <c r="E918" s="6" t="s">
        <v>22</v>
      </c>
      <c r="F918" s="10">
        <v>8654537</v>
      </c>
      <c r="G918" s="6">
        <v>2</v>
      </c>
      <c r="H918" s="6" t="s">
        <v>16</v>
      </c>
      <c r="I918" s="6" t="s">
        <v>17</v>
      </c>
      <c r="J918" s="6" t="s">
        <v>17</v>
      </c>
      <c r="K918" s="6" t="s">
        <v>18</v>
      </c>
      <c r="L918" s="6">
        <v>8100000</v>
      </c>
      <c r="M918" s="6" t="str">
        <f t="shared" si="14"/>
        <v>80L-1.2Cr</v>
      </c>
    </row>
    <row r="919" spans="1:13" x14ac:dyDescent="0.25">
      <c r="A919" s="6" t="s">
        <v>959</v>
      </c>
      <c r="B919" s="7">
        <v>46230.449444444443</v>
      </c>
      <c r="C919" s="6" t="s">
        <v>33</v>
      </c>
      <c r="D919" s="6" t="s">
        <v>1060</v>
      </c>
      <c r="E919" s="6" t="s">
        <v>27</v>
      </c>
      <c r="F919" s="10">
        <v>2347929</v>
      </c>
      <c r="G919" s="6">
        <v>3</v>
      </c>
      <c r="H919" s="6" t="s">
        <v>16</v>
      </c>
      <c r="I919" s="6" t="s">
        <v>17</v>
      </c>
      <c r="J919" s="6" t="s">
        <v>23</v>
      </c>
      <c r="K919" s="6" t="s">
        <v>24</v>
      </c>
      <c r="L919" s="6"/>
      <c r="M919" s="6" t="str">
        <f t="shared" si="14"/>
        <v>Below 30L</v>
      </c>
    </row>
    <row r="920" spans="1:13" x14ac:dyDescent="0.25">
      <c r="A920" s="6" t="s">
        <v>960</v>
      </c>
      <c r="B920" s="7">
        <v>46230.675671296296</v>
      </c>
      <c r="C920" s="6" t="s">
        <v>36</v>
      </c>
      <c r="D920" s="6" t="s">
        <v>21</v>
      </c>
      <c r="E920" s="6" t="s">
        <v>15</v>
      </c>
      <c r="F920" s="10">
        <v>3624773</v>
      </c>
      <c r="G920" s="6">
        <v>3</v>
      </c>
      <c r="H920" s="6" t="s">
        <v>16</v>
      </c>
      <c r="I920" s="6" t="s">
        <v>17</v>
      </c>
      <c r="J920" s="6" t="s">
        <v>17</v>
      </c>
      <c r="K920" s="6" t="s">
        <v>24</v>
      </c>
      <c r="L920" s="6"/>
      <c r="M920" s="6" t="str">
        <f t="shared" si="14"/>
        <v>30L-50L</v>
      </c>
    </row>
    <row r="921" spans="1:13" x14ac:dyDescent="0.25">
      <c r="A921" s="6" t="s">
        <v>961</v>
      </c>
      <c r="B921" s="7">
        <v>46230.901898148149</v>
      </c>
      <c r="C921" s="6" t="s">
        <v>13</v>
      </c>
      <c r="D921" s="6" t="s">
        <v>21</v>
      </c>
      <c r="E921" s="6" t="s">
        <v>15</v>
      </c>
      <c r="F921" s="10">
        <v>8178333</v>
      </c>
      <c r="G921" s="6">
        <v>5</v>
      </c>
      <c r="H921" s="6" t="s">
        <v>16</v>
      </c>
      <c r="I921" s="6" t="s">
        <v>17</v>
      </c>
      <c r="J921" s="6" t="s">
        <v>23</v>
      </c>
      <c r="K921" s="6" t="s">
        <v>18</v>
      </c>
      <c r="L921" s="6">
        <v>8400000</v>
      </c>
      <c r="M921" s="6" t="str">
        <f t="shared" si="14"/>
        <v>80L-1.2Cr</v>
      </c>
    </row>
    <row r="922" spans="1:13" x14ac:dyDescent="0.25">
      <c r="A922" s="6" t="s">
        <v>962</v>
      </c>
      <c r="B922" s="7">
        <v>46231.128125000003</v>
      </c>
      <c r="C922" s="6" t="s">
        <v>36</v>
      </c>
      <c r="D922" s="6" t="s">
        <v>1062</v>
      </c>
      <c r="E922" s="6" t="s">
        <v>15</v>
      </c>
      <c r="F922" s="10">
        <v>4587981</v>
      </c>
      <c r="G922" s="6">
        <v>5</v>
      </c>
      <c r="H922" s="6" t="s">
        <v>16</v>
      </c>
      <c r="I922" s="6" t="s">
        <v>17</v>
      </c>
      <c r="J922" s="6" t="s">
        <v>23</v>
      </c>
      <c r="K922" s="6" t="s">
        <v>24</v>
      </c>
      <c r="L922" s="6"/>
      <c r="M922" s="6" t="str">
        <f t="shared" si="14"/>
        <v>30L-50L</v>
      </c>
    </row>
    <row r="923" spans="1:13" x14ac:dyDescent="0.25">
      <c r="A923" s="6" t="s">
        <v>963</v>
      </c>
      <c r="B923" s="7">
        <v>46231.354351851849</v>
      </c>
      <c r="C923" s="6" t="s">
        <v>20</v>
      </c>
      <c r="D923" s="6" t="s">
        <v>1059</v>
      </c>
      <c r="E923" s="6" t="s">
        <v>22</v>
      </c>
      <c r="F923" s="10">
        <v>6789313</v>
      </c>
      <c r="G923" s="6">
        <v>1</v>
      </c>
      <c r="H923" s="6" t="s">
        <v>37</v>
      </c>
      <c r="I923" s="6" t="s">
        <v>23</v>
      </c>
      <c r="J923" s="6" t="s">
        <v>23</v>
      </c>
      <c r="K923" s="6" t="s">
        <v>28</v>
      </c>
      <c r="L923" s="6"/>
      <c r="M923" s="6" t="str">
        <f t="shared" si="14"/>
        <v>50L-80L</v>
      </c>
    </row>
    <row r="924" spans="1:13" x14ac:dyDescent="0.25">
      <c r="A924" s="6" t="s">
        <v>964</v>
      </c>
      <c r="B924" s="7">
        <v>46231.580578703702</v>
      </c>
      <c r="C924" s="6" t="s">
        <v>36</v>
      </c>
      <c r="D924" s="6" t="s">
        <v>1062</v>
      </c>
      <c r="E924" s="6" t="s">
        <v>27</v>
      </c>
      <c r="F924" s="10">
        <v>7495991</v>
      </c>
      <c r="G924" s="6">
        <v>2</v>
      </c>
      <c r="H924" s="6" t="s">
        <v>16</v>
      </c>
      <c r="I924" s="6" t="s">
        <v>17</v>
      </c>
      <c r="J924" s="6" t="s">
        <v>23</v>
      </c>
      <c r="K924" s="6" t="s">
        <v>18</v>
      </c>
      <c r="L924" s="6">
        <v>7550000</v>
      </c>
      <c r="M924" s="6" t="str">
        <f t="shared" si="14"/>
        <v>50L-80L</v>
      </c>
    </row>
    <row r="925" spans="1:13" x14ac:dyDescent="0.25">
      <c r="A925" s="6" t="s">
        <v>965</v>
      </c>
      <c r="B925" s="7">
        <v>46231.806805555556</v>
      </c>
      <c r="C925" s="6" t="s">
        <v>36</v>
      </c>
      <c r="D925" s="6" t="s">
        <v>21</v>
      </c>
      <c r="E925" s="6" t="s">
        <v>15</v>
      </c>
      <c r="F925" s="10">
        <v>6024961</v>
      </c>
      <c r="G925" s="6">
        <v>2</v>
      </c>
      <c r="H925" s="6" t="s">
        <v>16</v>
      </c>
      <c r="I925" s="6" t="s">
        <v>17</v>
      </c>
      <c r="J925" s="6" t="s">
        <v>23</v>
      </c>
      <c r="K925" s="6" t="s">
        <v>24</v>
      </c>
      <c r="L925" s="6"/>
      <c r="M925" s="6" t="str">
        <f t="shared" si="14"/>
        <v>50L-80L</v>
      </c>
    </row>
    <row r="926" spans="1:13" x14ac:dyDescent="0.25">
      <c r="A926" s="6" t="s">
        <v>966</v>
      </c>
      <c r="B926" s="7">
        <v>46232.033032407409</v>
      </c>
      <c r="C926" s="6" t="s">
        <v>20</v>
      </c>
      <c r="D926" s="6" t="s">
        <v>1063</v>
      </c>
      <c r="E926" s="6" t="s">
        <v>15</v>
      </c>
      <c r="F926" s="10">
        <v>3831633</v>
      </c>
      <c r="G926" s="6">
        <v>4</v>
      </c>
      <c r="H926" s="6" t="s">
        <v>16</v>
      </c>
      <c r="I926" s="6" t="s">
        <v>17</v>
      </c>
      <c r="J926" s="6" t="s">
        <v>17</v>
      </c>
      <c r="K926" s="6" t="s">
        <v>24</v>
      </c>
      <c r="L926" s="6"/>
      <c r="M926" s="6" t="str">
        <f t="shared" si="14"/>
        <v>30L-50L</v>
      </c>
    </row>
    <row r="927" spans="1:13" x14ac:dyDescent="0.25">
      <c r="A927" s="6" t="s">
        <v>967</v>
      </c>
      <c r="B927" s="7">
        <v>46232.259259259263</v>
      </c>
      <c r="C927" s="6" t="s">
        <v>13</v>
      </c>
      <c r="D927" s="6" t="s">
        <v>1059</v>
      </c>
      <c r="E927" s="6" t="s">
        <v>27</v>
      </c>
      <c r="F927" s="10">
        <v>4369972</v>
      </c>
      <c r="G927" s="6">
        <v>3</v>
      </c>
      <c r="H927" s="6" t="s">
        <v>16</v>
      </c>
      <c r="I927" s="6" t="s">
        <v>17</v>
      </c>
      <c r="J927" s="6" t="s">
        <v>23</v>
      </c>
      <c r="K927" s="6" t="s">
        <v>24</v>
      </c>
      <c r="L927" s="6"/>
      <c r="M927" s="6" t="str">
        <f t="shared" si="14"/>
        <v>30L-50L</v>
      </c>
    </row>
    <row r="928" spans="1:13" x14ac:dyDescent="0.25">
      <c r="A928" s="6" t="s">
        <v>968</v>
      </c>
      <c r="B928" s="7">
        <v>46232.485486111109</v>
      </c>
      <c r="C928" s="6" t="s">
        <v>26</v>
      </c>
      <c r="D928" s="6" t="s">
        <v>1060</v>
      </c>
      <c r="E928" s="6" t="s">
        <v>27</v>
      </c>
      <c r="F928" s="10">
        <v>2336642</v>
      </c>
      <c r="G928" s="6">
        <v>3</v>
      </c>
      <c r="H928" s="6" t="s">
        <v>16</v>
      </c>
      <c r="I928" s="6" t="s">
        <v>17</v>
      </c>
      <c r="J928" s="6" t="s">
        <v>23</v>
      </c>
      <c r="K928" s="6" t="s">
        <v>24</v>
      </c>
      <c r="L928" s="6"/>
      <c r="M928" s="6" t="str">
        <f t="shared" si="14"/>
        <v>Below 30L</v>
      </c>
    </row>
    <row r="929" spans="1:13" x14ac:dyDescent="0.25">
      <c r="A929" s="6" t="s">
        <v>969</v>
      </c>
      <c r="B929" s="7">
        <v>46232.711712962962</v>
      </c>
      <c r="C929" s="6" t="s">
        <v>20</v>
      </c>
      <c r="D929" s="6" t="s">
        <v>1060</v>
      </c>
      <c r="E929" s="6" t="s">
        <v>27</v>
      </c>
      <c r="F929" s="10">
        <v>5022500</v>
      </c>
      <c r="G929" s="6">
        <v>6</v>
      </c>
      <c r="H929" s="6" t="s">
        <v>16</v>
      </c>
      <c r="I929" s="6" t="s">
        <v>17</v>
      </c>
      <c r="J929" s="6" t="s">
        <v>17</v>
      </c>
      <c r="K929" s="6" t="s">
        <v>24</v>
      </c>
      <c r="L929" s="6"/>
      <c r="M929" s="6" t="str">
        <f t="shared" si="14"/>
        <v>50L-80L</v>
      </c>
    </row>
    <row r="930" spans="1:13" x14ac:dyDescent="0.25">
      <c r="A930" s="6" t="s">
        <v>970</v>
      </c>
      <c r="B930" s="7">
        <v>46232.937939814816</v>
      </c>
      <c r="C930" s="6" t="s">
        <v>30</v>
      </c>
      <c r="D930" s="6" t="s">
        <v>1062</v>
      </c>
      <c r="E930" s="6" t="s">
        <v>22</v>
      </c>
      <c r="F930" s="10">
        <v>7634224</v>
      </c>
      <c r="G930" s="6">
        <v>1</v>
      </c>
      <c r="H930" s="6" t="s">
        <v>16</v>
      </c>
      <c r="I930" s="6" t="s">
        <v>23</v>
      </c>
      <c r="J930" s="6" t="s">
        <v>23</v>
      </c>
      <c r="K930" s="6" t="s">
        <v>28</v>
      </c>
      <c r="L930" s="6"/>
      <c r="M930" s="6" t="str">
        <f t="shared" si="14"/>
        <v>50L-80L</v>
      </c>
    </row>
    <row r="931" spans="1:13" x14ac:dyDescent="0.25">
      <c r="A931" s="6" t="s">
        <v>971</v>
      </c>
      <c r="B931" s="7">
        <v>46233.164166666669</v>
      </c>
      <c r="C931" s="6" t="s">
        <v>26</v>
      </c>
      <c r="D931" s="6" t="s">
        <v>1059</v>
      </c>
      <c r="E931" s="6" t="s">
        <v>15</v>
      </c>
      <c r="F931" s="10">
        <v>7371906</v>
      </c>
      <c r="G931" s="6">
        <v>1</v>
      </c>
      <c r="H931" s="6" t="s">
        <v>37</v>
      </c>
      <c r="I931" s="6" t="s">
        <v>17</v>
      </c>
      <c r="J931" s="6" t="s">
        <v>23</v>
      </c>
      <c r="K931" s="6" t="s">
        <v>24</v>
      </c>
      <c r="L931" s="6"/>
      <c r="M931" s="6" t="str">
        <f t="shared" si="14"/>
        <v>50L-80L</v>
      </c>
    </row>
    <row r="932" spans="1:13" x14ac:dyDescent="0.25">
      <c r="A932" s="6" t="s">
        <v>972</v>
      </c>
      <c r="B932" s="7">
        <v>46233.390393518515</v>
      </c>
      <c r="C932" s="6" t="s">
        <v>13</v>
      </c>
      <c r="D932" s="6" t="s">
        <v>1060</v>
      </c>
      <c r="E932" s="6" t="s">
        <v>22</v>
      </c>
      <c r="F932" s="10">
        <v>17334754</v>
      </c>
      <c r="G932" s="6">
        <v>2</v>
      </c>
      <c r="H932" s="6" t="s">
        <v>16</v>
      </c>
      <c r="I932" s="6" t="s">
        <v>23</v>
      </c>
      <c r="J932" s="6" t="s">
        <v>23</v>
      </c>
      <c r="K932" s="6" t="s">
        <v>28</v>
      </c>
      <c r="L932" s="6"/>
      <c r="M932" s="6" t="str">
        <f t="shared" si="14"/>
        <v>Above 1.2Cr</v>
      </c>
    </row>
    <row r="933" spans="1:13" x14ac:dyDescent="0.25">
      <c r="A933" s="6" t="s">
        <v>973</v>
      </c>
      <c r="B933" s="7">
        <v>46233.616620370369</v>
      </c>
      <c r="C933" s="6" t="s">
        <v>36</v>
      </c>
      <c r="D933" s="6" t="s">
        <v>1060</v>
      </c>
      <c r="E933" s="6" t="s">
        <v>22</v>
      </c>
      <c r="F933" s="10">
        <v>11840183</v>
      </c>
      <c r="G933" s="6">
        <v>2</v>
      </c>
      <c r="H933" s="6" t="s">
        <v>37</v>
      </c>
      <c r="I933" s="6" t="s">
        <v>23</v>
      </c>
      <c r="J933" s="6" t="s">
        <v>23</v>
      </c>
      <c r="K933" s="6" t="s">
        <v>28</v>
      </c>
      <c r="L933" s="6"/>
      <c r="M933" s="6" t="str">
        <f t="shared" si="14"/>
        <v>80L-1.2Cr</v>
      </c>
    </row>
    <row r="934" spans="1:13" x14ac:dyDescent="0.25">
      <c r="A934" s="6" t="s">
        <v>974</v>
      </c>
      <c r="B934" s="7">
        <v>46233.842847222222</v>
      </c>
      <c r="C934" s="6" t="s">
        <v>33</v>
      </c>
      <c r="D934" s="6" t="s">
        <v>1060</v>
      </c>
      <c r="E934" s="6" t="s">
        <v>15</v>
      </c>
      <c r="F934" s="10">
        <v>4495567</v>
      </c>
      <c r="G934" s="6">
        <v>1</v>
      </c>
      <c r="H934" s="6" t="s">
        <v>16</v>
      </c>
      <c r="I934" s="6" t="s">
        <v>23</v>
      </c>
      <c r="J934" s="6" t="s">
        <v>23</v>
      </c>
      <c r="K934" s="6" t="s">
        <v>28</v>
      </c>
      <c r="L934" s="6"/>
      <c r="M934" s="6" t="str">
        <f t="shared" si="14"/>
        <v>30L-50L</v>
      </c>
    </row>
    <row r="935" spans="1:13" x14ac:dyDescent="0.25">
      <c r="A935" s="6" t="s">
        <v>975</v>
      </c>
      <c r="B935" s="7">
        <v>46234.069074074076</v>
      </c>
      <c r="C935" s="6" t="s">
        <v>20</v>
      </c>
      <c r="D935" s="6" t="s">
        <v>1062</v>
      </c>
      <c r="E935" s="6" t="s">
        <v>15</v>
      </c>
      <c r="F935" s="10">
        <v>4484416</v>
      </c>
      <c r="G935" s="6">
        <v>1</v>
      </c>
      <c r="H935" s="6" t="s">
        <v>16</v>
      </c>
      <c r="I935" s="6" t="s">
        <v>17</v>
      </c>
      <c r="J935" s="6" t="s">
        <v>17</v>
      </c>
      <c r="K935" s="6" t="s">
        <v>24</v>
      </c>
      <c r="L935" s="6"/>
      <c r="M935" s="6" t="str">
        <f t="shared" si="14"/>
        <v>30L-50L</v>
      </c>
    </row>
    <row r="936" spans="1:13" x14ac:dyDescent="0.25">
      <c r="A936" s="6" t="s">
        <v>976</v>
      </c>
      <c r="B936" s="7">
        <v>46234.295300925929</v>
      </c>
      <c r="C936" s="6" t="s">
        <v>13</v>
      </c>
      <c r="D936" s="6" t="s">
        <v>1062</v>
      </c>
      <c r="E936" s="6" t="s">
        <v>22</v>
      </c>
      <c r="F936" s="10">
        <v>8396640</v>
      </c>
      <c r="G936" s="6">
        <v>3</v>
      </c>
      <c r="H936" s="6" t="s">
        <v>16</v>
      </c>
      <c r="I936" s="6" t="s">
        <v>23</v>
      </c>
      <c r="J936" s="6" t="s">
        <v>17</v>
      </c>
      <c r="K936" s="6" t="s">
        <v>18</v>
      </c>
      <c r="L936" s="6">
        <v>8300000</v>
      </c>
      <c r="M936" s="6" t="str">
        <f t="shared" si="14"/>
        <v>80L-1.2Cr</v>
      </c>
    </row>
    <row r="937" spans="1:13" x14ac:dyDescent="0.25">
      <c r="A937" s="6" t="s">
        <v>977</v>
      </c>
      <c r="B937" s="7">
        <v>46234.521516203706</v>
      </c>
      <c r="C937" s="6" t="s">
        <v>26</v>
      </c>
      <c r="D937" s="6" t="s">
        <v>1063</v>
      </c>
      <c r="E937" s="6" t="s">
        <v>15</v>
      </c>
      <c r="F937" s="10">
        <v>3703335</v>
      </c>
      <c r="G937" s="6">
        <v>5</v>
      </c>
      <c r="H937" s="6" t="s">
        <v>16</v>
      </c>
      <c r="I937" s="6" t="s">
        <v>17</v>
      </c>
      <c r="J937" s="6" t="s">
        <v>23</v>
      </c>
      <c r="K937" s="6" t="s">
        <v>24</v>
      </c>
      <c r="L937" s="6"/>
      <c r="M937" s="6" t="str">
        <f t="shared" si="14"/>
        <v>30L-50L</v>
      </c>
    </row>
    <row r="938" spans="1:13" x14ac:dyDescent="0.25">
      <c r="A938" s="6" t="s">
        <v>978</v>
      </c>
      <c r="B938" s="7">
        <v>46234.747743055559</v>
      </c>
      <c r="C938" s="6" t="s">
        <v>13</v>
      </c>
      <c r="D938" s="6" t="s">
        <v>1059</v>
      </c>
      <c r="E938" s="6" t="s">
        <v>22</v>
      </c>
      <c r="F938" s="10">
        <v>7925464</v>
      </c>
      <c r="G938" s="6">
        <v>3</v>
      </c>
      <c r="H938" s="6" t="s">
        <v>37</v>
      </c>
      <c r="I938" s="6" t="s">
        <v>23</v>
      </c>
      <c r="J938" s="6" t="s">
        <v>23</v>
      </c>
      <c r="K938" s="6" t="s">
        <v>28</v>
      </c>
      <c r="L938" s="6"/>
      <c r="M938" s="6" t="str">
        <f t="shared" si="14"/>
        <v>50L-80L</v>
      </c>
    </row>
    <row r="939" spans="1:13" x14ac:dyDescent="0.25">
      <c r="A939" s="6" t="s">
        <v>979</v>
      </c>
      <c r="B939" s="7">
        <v>46234.973969907405</v>
      </c>
      <c r="C939" s="6" t="s">
        <v>33</v>
      </c>
      <c r="D939" s="6" t="s">
        <v>1063</v>
      </c>
      <c r="E939" s="6" t="s">
        <v>22</v>
      </c>
      <c r="F939" s="10">
        <v>8933798</v>
      </c>
      <c r="G939" s="6">
        <v>3</v>
      </c>
      <c r="H939" s="6" t="s">
        <v>37</v>
      </c>
      <c r="I939" s="6" t="s">
        <v>17</v>
      </c>
      <c r="J939" s="6" t="s">
        <v>23</v>
      </c>
      <c r="K939" s="6" t="s">
        <v>24</v>
      </c>
      <c r="L939" s="6"/>
      <c r="M939" s="6" t="str">
        <f t="shared" si="14"/>
        <v>80L-1.2Cr</v>
      </c>
    </row>
    <row r="940" spans="1:13" x14ac:dyDescent="0.25">
      <c r="A940" s="6" t="s">
        <v>980</v>
      </c>
      <c r="B940" s="7">
        <v>46235.200196759259</v>
      </c>
      <c r="C940" s="6" t="s">
        <v>13</v>
      </c>
      <c r="D940" s="6" t="s">
        <v>1060</v>
      </c>
      <c r="E940" s="6" t="s">
        <v>27</v>
      </c>
      <c r="F940" s="10">
        <v>3800608</v>
      </c>
      <c r="G940" s="6">
        <v>2</v>
      </c>
      <c r="H940" s="6" t="s">
        <v>16</v>
      </c>
      <c r="I940" s="6" t="s">
        <v>23</v>
      </c>
      <c r="J940" s="6" t="s">
        <v>17</v>
      </c>
      <c r="K940" s="6" t="s">
        <v>28</v>
      </c>
      <c r="L940" s="6"/>
      <c r="M940" s="6" t="str">
        <f t="shared" si="14"/>
        <v>30L-50L</v>
      </c>
    </row>
    <row r="941" spans="1:13" x14ac:dyDescent="0.25">
      <c r="A941" s="6" t="s">
        <v>981</v>
      </c>
      <c r="B941" s="7">
        <v>46235.426423611112</v>
      </c>
      <c r="C941" s="6" t="s">
        <v>20</v>
      </c>
      <c r="D941" s="6" t="s">
        <v>1059</v>
      </c>
      <c r="E941" s="6" t="s">
        <v>15</v>
      </c>
      <c r="F941" s="10">
        <v>4845579</v>
      </c>
      <c r="G941" s="6">
        <v>4</v>
      </c>
      <c r="H941" s="6" t="s">
        <v>16</v>
      </c>
      <c r="I941" s="6" t="s">
        <v>17</v>
      </c>
      <c r="J941" s="6" t="s">
        <v>17</v>
      </c>
      <c r="K941" s="6" t="s">
        <v>24</v>
      </c>
      <c r="L941" s="6"/>
      <c r="M941" s="6" t="str">
        <f t="shared" si="14"/>
        <v>30L-50L</v>
      </c>
    </row>
    <row r="942" spans="1:13" x14ac:dyDescent="0.25">
      <c r="A942" s="6" t="s">
        <v>982</v>
      </c>
      <c r="B942" s="7">
        <v>46235.652650462966</v>
      </c>
      <c r="C942" s="6" t="s">
        <v>26</v>
      </c>
      <c r="D942" s="6" t="s">
        <v>1059</v>
      </c>
      <c r="E942" s="6" t="s">
        <v>15</v>
      </c>
      <c r="F942" s="10">
        <v>3902153</v>
      </c>
      <c r="G942" s="6">
        <v>4</v>
      </c>
      <c r="H942" s="6" t="s">
        <v>37</v>
      </c>
      <c r="I942" s="6" t="s">
        <v>17</v>
      </c>
      <c r="J942" s="6" t="s">
        <v>23</v>
      </c>
      <c r="K942" s="6" t="s">
        <v>24</v>
      </c>
      <c r="L942" s="6"/>
      <c r="M942" s="6" t="str">
        <f t="shared" si="14"/>
        <v>30L-50L</v>
      </c>
    </row>
    <row r="943" spans="1:13" x14ac:dyDescent="0.25">
      <c r="A943" s="6" t="s">
        <v>983</v>
      </c>
      <c r="B943" s="7">
        <v>46235.878877314812</v>
      </c>
      <c r="C943" s="6" t="s">
        <v>20</v>
      </c>
      <c r="D943" s="6" t="s">
        <v>21</v>
      </c>
      <c r="E943" s="6" t="s">
        <v>22</v>
      </c>
      <c r="F943" s="10">
        <v>9047572</v>
      </c>
      <c r="G943" s="6">
        <v>3</v>
      </c>
      <c r="H943" s="6" t="s">
        <v>16</v>
      </c>
      <c r="I943" s="6" t="s">
        <v>23</v>
      </c>
      <c r="J943" s="6" t="s">
        <v>23</v>
      </c>
      <c r="K943" s="6" t="s">
        <v>28</v>
      </c>
      <c r="L943" s="6"/>
      <c r="M943" s="6" t="str">
        <f t="shared" si="14"/>
        <v>80L-1.2Cr</v>
      </c>
    </row>
    <row r="944" spans="1:13" x14ac:dyDescent="0.25">
      <c r="A944" s="6" t="s">
        <v>984</v>
      </c>
      <c r="B944" s="7">
        <v>46236.105104166665</v>
      </c>
      <c r="C944" s="6" t="s">
        <v>30</v>
      </c>
      <c r="D944" s="6" t="s">
        <v>1063</v>
      </c>
      <c r="E944" s="6" t="s">
        <v>15</v>
      </c>
      <c r="F944" s="10">
        <v>6427768</v>
      </c>
      <c r="G944" s="6">
        <v>1</v>
      </c>
      <c r="H944" s="6" t="s">
        <v>37</v>
      </c>
      <c r="I944" s="6" t="s">
        <v>17</v>
      </c>
      <c r="J944" s="6" t="s">
        <v>23</v>
      </c>
      <c r="K944" s="6" t="s">
        <v>24</v>
      </c>
      <c r="L944" s="6"/>
      <c r="M944" s="6" t="str">
        <f t="shared" si="14"/>
        <v>50L-80L</v>
      </c>
    </row>
    <row r="945" spans="1:13" x14ac:dyDescent="0.25">
      <c r="A945" s="6" t="s">
        <v>985</v>
      </c>
      <c r="B945" s="7">
        <v>46236.331331018519</v>
      </c>
      <c r="C945" s="6" t="s">
        <v>36</v>
      </c>
      <c r="D945" s="6" t="s">
        <v>1062</v>
      </c>
      <c r="E945" s="6" t="s">
        <v>22</v>
      </c>
      <c r="F945" s="10">
        <v>7471816</v>
      </c>
      <c r="G945" s="6">
        <v>1</v>
      </c>
      <c r="H945" s="6" t="s">
        <v>37</v>
      </c>
      <c r="I945" s="6" t="s">
        <v>17</v>
      </c>
      <c r="J945" s="6" t="s">
        <v>23</v>
      </c>
      <c r="K945" s="6" t="s">
        <v>24</v>
      </c>
      <c r="L945" s="6"/>
      <c r="M945" s="6" t="str">
        <f t="shared" si="14"/>
        <v>50L-80L</v>
      </c>
    </row>
    <row r="946" spans="1:13" x14ac:dyDescent="0.25">
      <c r="A946" s="6" t="s">
        <v>986</v>
      </c>
      <c r="B946" s="7">
        <v>46236.557557870372</v>
      </c>
      <c r="C946" s="6" t="s">
        <v>26</v>
      </c>
      <c r="D946" s="6" t="s">
        <v>1063</v>
      </c>
      <c r="E946" s="6" t="s">
        <v>22</v>
      </c>
      <c r="F946" s="10">
        <v>11646244</v>
      </c>
      <c r="G946" s="6">
        <v>1</v>
      </c>
      <c r="H946" s="6" t="s">
        <v>37</v>
      </c>
      <c r="I946" s="6" t="s">
        <v>17</v>
      </c>
      <c r="J946" s="6" t="s">
        <v>17</v>
      </c>
      <c r="K946" s="6" t="s">
        <v>18</v>
      </c>
      <c r="L946" s="6">
        <v>11250000</v>
      </c>
      <c r="M946" s="6" t="str">
        <f t="shared" si="14"/>
        <v>80L-1.2Cr</v>
      </c>
    </row>
    <row r="947" spans="1:13" x14ac:dyDescent="0.25">
      <c r="A947" s="6" t="s">
        <v>987</v>
      </c>
      <c r="B947" s="7">
        <v>46236.783784722225</v>
      </c>
      <c r="C947" s="6" t="s">
        <v>13</v>
      </c>
      <c r="D947" s="6" t="s">
        <v>1060</v>
      </c>
      <c r="E947" s="6" t="s">
        <v>15</v>
      </c>
      <c r="F947" s="10">
        <v>6301737</v>
      </c>
      <c r="G947" s="6">
        <v>3</v>
      </c>
      <c r="H947" s="6" t="s">
        <v>16</v>
      </c>
      <c r="I947" s="6" t="s">
        <v>23</v>
      </c>
      <c r="J947" s="6" t="s">
        <v>17</v>
      </c>
      <c r="K947" s="6" t="s">
        <v>28</v>
      </c>
      <c r="L947" s="6"/>
      <c r="M947" s="6" t="str">
        <f t="shared" si="14"/>
        <v>50L-80L</v>
      </c>
    </row>
    <row r="948" spans="1:13" x14ac:dyDescent="0.25">
      <c r="A948" s="6" t="s">
        <v>988</v>
      </c>
      <c r="B948" s="7">
        <v>46237.010011574072</v>
      </c>
      <c r="C948" s="6" t="s">
        <v>13</v>
      </c>
      <c r="D948" s="6" t="s">
        <v>1060</v>
      </c>
      <c r="E948" s="6" t="s">
        <v>15</v>
      </c>
      <c r="F948" s="10">
        <v>3333977</v>
      </c>
      <c r="G948" s="6">
        <v>4</v>
      </c>
      <c r="H948" s="6" t="s">
        <v>16</v>
      </c>
      <c r="I948" s="6" t="s">
        <v>17</v>
      </c>
      <c r="J948" s="6" t="s">
        <v>17</v>
      </c>
      <c r="K948" s="6" t="s">
        <v>18</v>
      </c>
      <c r="L948" s="6">
        <v>3150000</v>
      </c>
      <c r="M948" s="6" t="str">
        <f t="shared" si="14"/>
        <v>30L-50L</v>
      </c>
    </row>
    <row r="949" spans="1:13" x14ac:dyDescent="0.25">
      <c r="A949" s="6" t="s">
        <v>989</v>
      </c>
      <c r="B949" s="7">
        <v>46237.236238425925</v>
      </c>
      <c r="C949" s="6" t="s">
        <v>33</v>
      </c>
      <c r="D949" s="6" t="s">
        <v>1059</v>
      </c>
      <c r="E949" s="6" t="s">
        <v>15</v>
      </c>
      <c r="F949" s="10">
        <v>8490243</v>
      </c>
      <c r="G949" s="6">
        <v>5</v>
      </c>
      <c r="H949" s="6" t="s">
        <v>16</v>
      </c>
      <c r="I949" s="6" t="s">
        <v>17</v>
      </c>
      <c r="J949" s="6" t="s">
        <v>17</v>
      </c>
      <c r="K949" s="6" t="s">
        <v>18</v>
      </c>
      <c r="L949" s="6">
        <v>7950000</v>
      </c>
      <c r="M949" s="6" t="str">
        <f t="shared" si="14"/>
        <v>80L-1.2Cr</v>
      </c>
    </row>
    <row r="950" spans="1:13" x14ac:dyDescent="0.25">
      <c r="A950" s="6" t="s">
        <v>990</v>
      </c>
      <c r="B950" s="7">
        <v>46237.462465277778</v>
      </c>
      <c r="C950" s="6" t="s">
        <v>36</v>
      </c>
      <c r="D950" s="6" t="s">
        <v>21</v>
      </c>
      <c r="E950" s="6" t="s">
        <v>15</v>
      </c>
      <c r="F950" s="10">
        <v>4596503</v>
      </c>
      <c r="G950" s="6">
        <v>2</v>
      </c>
      <c r="H950" s="6" t="s">
        <v>37</v>
      </c>
      <c r="I950" s="6" t="s">
        <v>23</v>
      </c>
      <c r="J950" s="6" t="s">
        <v>23</v>
      </c>
      <c r="K950" s="6" t="s">
        <v>28</v>
      </c>
      <c r="L950" s="6"/>
      <c r="M950" s="6" t="str">
        <f t="shared" si="14"/>
        <v>30L-50L</v>
      </c>
    </row>
    <row r="951" spans="1:13" x14ac:dyDescent="0.25">
      <c r="A951" s="6" t="s">
        <v>991</v>
      </c>
      <c r="B951" s="7">
        <v>46237.688692129632</v>
      </c>
      <c r="C951" s="6" t="s">
        <v>30</v>
      </c>
      <c r="D951" s="6" t="s">
        <v>21</v>
      </c>
      <c r="E951" s="6" t="s">
        <v>27</v>
      </c>
      <c r="F951" s="10">
        <v>3432207</v>
      </c>
      <c r="G951" s="6">
        <v>4</v>
      </c>
      <c r="H951" s="6" t="s">
        <v>16</v>
      </c>
      <c r="I951" s="6" t="s">
        <v>23</v>
      </c>
      <c r="J951" s="6" t="s">
        <v>23</v>
      </c>
      <c r="K951" s="6" t="s">
        <v>28</v>
      </c>
      <c r="L951" s="6"/>
      <c r="M951" s="6" t="str">
        <f t="shared" si="14"/>
        <v>30L-50L</v>
      </c>
    </row>
    <row r="952" spans="1:13" x14ac:dyDescent="0.25">
      <c r="A952" s="6" t="s">
        <v>992</v>
      </c>
      <c r="B952" s="7">
        <v>46237.914918981478</v>
      </c>
      <c r="C952" s="6" t="s">
        <v>30</v>
      </c>
      <c r="D952" s="6" t="s">
        <v>1059</v>
      </c>
      <c r="E952" s="6" t="s">
        <v>27</v>
      </c>
      <c r="F952" s="10">
        <v>4527554</v>
      </c>
      <c r="G952" s="6">
        <v>5</v>
      </c>
      <c r="H952" s="6" t="s">
        <v>16</v>
      </c>
      <c r="I952" s="6" t="s">
        <v>17</v>
      </c>
      <c r="J952" s="6" t="s">
        <v>23</v>
      </c>
      <c r="K952" s="6" t="s">
        <v>24</v>
      </c>
      <c r="L952" s="6"/>
      <c r="M952" s="6" t="str">
        <f t="shared" si="14"/>
        <v>30L-50L</v>
      </c>
    </row>
    <row r="953" spans="1:13" x14ac:dyDescent="0.25">
      <c r="A953" s="6" t="s">
        <v>993</v>
      </c>
      <c r="B953" s="7">
        <v>46238.141145833331</v>
      </c>
      <c r="C953" s="6" t="s">
        <v>30</v>
      </c>
      <c r="D953" s="6" t="s">
        <v>1059</v>
      </c>
      <c r="E953" s="6" t="s">
        <v>22</v>
      </c>
      <c r="F953" s="10">
        <v>10178084</v>
      </c>
      <c r="G953" s="6">
        <v>2</v>
      </c>
      <c r="H953" s="6" t="s">
        <v>16</v>
      </c>
      <c r="I953" s="6" t="s">
        <v>17</v>
      </c>
      <c r="J953" s="6" t="s">
        <v>23</v>
      </c>
      <c r="K953" s="6" t="s">
        <v>24</v>
      </c>
      <c r="L953" s="6"/>
      <c r="M953" s="6" t="str">
        <f t="shared" si="14"/>
        <v>80L-1.2Cr</v>
      </c>
    </row>
    <row r="954" spans="1:13" x14ac:dyDescent="0.25">
      <c r="A954" s="6" t="s">
        <v>994</v>
      </c>
      <c r="B954" s="7">
        <v>46238.367372685185</v>
      </c>
      <c r="C954" s="6" t="s">
        <v>13</v>
      </c>
      <c r="D954" s="6" t="s">
        <v>1060</v>
      </c>
      <c r="E954" s="6" t="s">
        <v>22</v>
      </c>
      <c r="F954" s="10">
        <v>17876925</v>
      </c>
      <c r="G954" s="6">
        <v>2</v>
      </c>
      <c r="H954" s="6" t="s">
        <v>16</v>
      </c>
      <c r="I954" s="6" t="s">
        <v>23</v>
      </c>
      <c r="J954" s="6" t="s">
        <v>23</v>
      </c>
      <c r="K954" s="6" t="s">
        <v>28</v>
      </c>
      <c r="L954" s="6"/>
      <c r="M954" s="6" t="str">
        <f t="shared" si="14"/>
        <v>Above 1.2Cr</v>
      </c>
    </row>
    <row r="955" spans="1:13" x14ac:dyDescent="0.25">
      <c r="A955" s="6" t="s">
        <v>995</v>
      </c>
      <c r="B955" s="7">
        <v>46238.593587962961</v>
      </c>
      <c r="C955" s="6" t="s">
        <v>33</v>
      </c>
      <c r="D955" s="6" t="s">
        <v>1062</v>
      </c>
      <c r="E955" s="6" t="s">
        <v>15</v>
      </c>
      <c r="F955" s="10">
        <v>4310786</v>
      </c>
      <c r="G955" s="6">
        <v>5</v>
      </c>
      <c r="H955" s="6" t="s">
        <v>16</v>
      </c>
      <c r="I955" s="6" t="s">
        <v>17</v>
      </c>
      <c r="J955" s="6" t="s">
        <v>17</v>
      </c>
      <c r="K955" s="6" t="s">
        <v>24</v>
      </c>
      <c r="L955" s="6"/>
      <c r="M955" s="6" t="str">
        <f t="shared" si="14"/>
        <v>30L-50L</v>
      </c>
    </row>
    <row r="956" spans="1:13" x14ac:dyDescent="0.25">
      <c r="A956" s="6" t="s">
        <v>996</v>
      </c>
      <c r="B956" s="7">
        <v>46238.819814814815</v>
      </c>
      <c r="C956" s="6" t="s">
        <v>20</v>
      </c>
      <c r="D956" s="6" t="s">
        <v>1061</v>
      </c>
      <c r="E956" s="6" t="s">
        <v>27</v>
      </c>
      <c r="F956" s="10">
        <v>2031821</v>
      </c>
      <c r="G956" s="6">
        <v>2</v>
      </c>
      <c r="H956" s="6" t="s">
        <v>16</v>
      </c>
      <c r="I956" s="6" t="s">
        <v>23</v>
      </c>
      <c r="J956" s="6" t="s">
        <v>23</v>
      </c>
      <c r="K956" s="6" t="s">
        <v>28</v>
      </c>
      <c r="L956" s="6"/>
      <c r="M956" s="6" t="str">
        <f t="shared" si="14"/>
        <v>Below 30L</v>
      </c>
    </row>
    <row r="957" spans="1:13" x14ac:dyDescent="0.25">
      <c r="A957" s="6" t="s">
        <v>997</v>
      </c>
      <c r="B957" s="7">
        <v>46239.046041666668</v>
      </c>
      <c r="C957" s="6" t="s">
        <v>26</v>
      </c>
      <c r="D957" s="6" t="s">
        <v>1061</v>
      </c>
      <c r="E957" s="6" t="s">
        <v>22</v>
      </c>
      <c r="F957" s="10">
        <v>7426548</v>
      </c>
      <c r="G957" s="6">
        <v>5</v>
      </c>
      <c r="H957" s="6" t="s">
        <v>16</v>
      </c>
      <c r="I957" s="6" t="s">
        <v>23</v>
      </c>
      <c r="J957" s="6" t="s">
        <v>23</v>
      </c>
      <c r="K957" s="6" t="s">
        <v>28</v>
      </c>
      <c r="L957" s="6"/>
      <c r="M957" s="6" t="str">
        <f t="shared" si="14"/>
        <v>50L-80L</v>
      </c>
    </row>
    <row r="958" spans="1:13" x14ac:dyDescent="0.25">
      <c r="A958" s="6" t="s">
        <v>998</v>
      </c>
      <c r="B958" s="7">
        <v>46239.272268518522</v>
      </c>
      <c r="C958" s="6" t="s">
        <v>20</v>
      </c>
      <c r="D958" s="6" t="s">
        <v>1062</v>
      </c>
      <c r="E958" s="6" t="s">
        <v>22</v>
      </c>
      <c r="F958" s="10">
        <v>7846780</v>
      </c>
      <c r="G958" s="6">
        <v>6</v>
      </c>
      <c r="H958" s="6" t="s">
        <v>16</v>
      </c>
      <c r="I958" s="6" t="s">
        <v>23</v>
      </c>
      <c r="J958" s="6" t="s">
        <v>17</v>
      </c>
      <c r="K958" s="6" t="s">
        <v>18</v>
      </c>
      <c r="L958" s="6">
        <v>8200000</v>
      </c>
      <c r="M958" s="6" t="str">
        <f t="shared" si="14"/>
        <v>50L-80L</v>
      </c>
    </row>
    <row r="959" spans="1:13" x14ac:dyDescent="0.25">
      <c r="A959" s="6" t="s">
        <v>999</v>
      </c>
      <c r="B959" s="7">
        <v>46239.498495370368</v>
      </c>
      <c r="C959" s="6" t="s">
        <v>13</v>
      </c>
      <c r="D959" s="6" t="s">
        <v>21</v>
      </c>
      <c r="E959" s="6" t="s">
        <v>27</v>
      </c>
      <c r="F959" s="10">
        <v>1750231</v>
      </c>
      <c r="G959" s="6">
        <v>3</v>
      </c>
      <c r="H959" s="6" t="s">
        <v>37</v>
      </c>
      <c r="I959" s="6" t="s">
        <v>23</v>
      </c>
      <c r="J959" s="6" t="s">
        <v>23</v>
      </c>
      <c r="K959" s="6" t="s">
        <v>28</v>
      </c>
      <c r="L959" s="6"/>
      <c r="M959" s="6" t="str">
        <f t="shared" si="14"/>
        <v>Below 30L</v>
      </c>
    </row>
    <row r="960" spans="1:13" x14ac:dyDescent="0.25">
      <c r="A960" s="6" t="s">
        <v>1000</v>
      </c>
      <c r="B960" s="7">
        <v>46239.724722222221</v>
      </c>
      <c r="C960" s="6" t="s">
        <v>13</v>
      </c>
      <c r="D960" s="6" t="s">
        <v>1062</v>
      </c>
      <c r="E960" s="6" t="s">
        <v>15</v>
      </c>
      <c r="F960" s="10">
        <v>3541220</v>
      </c>
      <c r="G960" s="6">
        <v>4</v>
      </c>
      <c r="H960" s="6" t="s">
        <v>16</v>
      </c>
      <c r="I960" s="6" t="s">
        <v>17</v>
      </c>
      <c r="J960" s="6" t="s">
        <v>17</v>
      </c>
      <c r="K960" s="6" t="s">
        <v>18</v>
      </c>
      <c r="L960" s="6">
        <v>3350000</v>
      </c>
      <c r="M960" s="6" t="str">
        <f t="shared" si="14"/>
        <v>30L-50L</v>
      </c>
    </row>
    <row r="961" spans="1:13" x14ac:dyDescent="0.25">
      <c r="A961" s="6" t="s">
        <v>1001</v>
      </c>
      <c r="B961" s="7">
        <v>46239.950949074075</v>
      </c>
      <c r="C961" s="6" t="s">
        <v>36</v>
      </c>
      <c r="D961" s="6" t="s">
        <v>1063</v>
      </c>
      <c r="E961" s="6" t="s">
        <v>27</v>
      </c>
      <c r="F961" s="10">
        <v>2478935</v>
      </c>
      <c r="G961" s="6">
        <v>4</v>
      </c>
      <c r="H961" s="6" t="s">
        <v>16</v>
      </c>
      <c r="I961" s="6" t="s">
        <v>17</v>
      </c>
      <c r="J961" s="6" t="s">
        <v>17</v>
      </c>
      <c r="K961" s="6" t="s">
        <v>24</v>
      </c>
      <c r="L961" s="6"/>
      <c r="M961" s="6" t="str">
        <f t="shared" si="14"/>
        <v>Below 30L</v>
      </c>
    </row>
    <row r="962" spans="1:13" x14ac:dyDescent="0.25">
      <c r="A962" s="6" t="s">
        <v>1002</v>
      </c>
      <c r="B962" s="7">
        <v>46240.177175925928</v>
      </c>
      <c r="C962" s="6" t="s">
        <v>13</v>
      </c>
      <c r="D962" s="6" t="s">
        <v>1059</v>
      </c>
      <c r="E962" s="6" t="s">
        <v>15</v>
      </c>
      <c r="F962" s="10">
        <v>3032966</v>
      </c>
      <c r="G962" s="6">
        <v>3</v>
      </c>
      <c r="H962" s="6" t="s">
        <v>37</v>
      </c>
      <c r="I962" s="6" t="s">
        <v>23</v>
      </c>
      <c r="J962" s="6" t="s">
        <v>23</v>
      </c>
      <c r="K962" s="6" t="s">
        <v>18</v>
      </c>
      <c r="L962" s="6">
        <v>2800000</v>
      </c>
      <c r="M962" s="6" t="str">
        <f t="shared" ref="M962:M1001" si="15">IF(F962&lt;3000000,"Below 30L",IF(F962&lt;5000000,"30L-50L",IF(F962&lt;8000000,"50L-80L",IF(F962&lt;12000000,"80L-1.2Cr","Above 1.2Cr"))))</f>
        <v>30L-50L</v>
      </c>
    </row>
    <row r="963" spans="1:13" x14ac:dyDescent="0.25">
      <c r="A963" s="6" t="s">
        <v>1003</v>
      </c>
      <c r="B963" s="7">
        <v>46240.403402777774</v>
      </c>
      <c r="C963" s="6" t="s">
        <v>30</v>
      </c>
      <c r="D963" s="6" t="s">
        <v>21</v>
      </c>
      <c r="E963" s="6" t="s">
        <v>15</v>
      </c>
      <c r="F963" s="10">
        <v>3163639</v>
      </c>
      <c r="G963" s="6">
        <v>2</v>
      </c>
      <c r="H963" s="6" t="s">
        <v>16</v>
      </c>
      <c r="I963" s="6" t="s">
        <v>17</v>
      </c>
      <c r="J963" s="6" t="s">
        <v>23</v>
      </c>
      <c r="K963" s="6" t="s">
        <v>24</v>
      </c>
      <c r="L963" s="6"/>
      <c r="M963" s="6" t="str">
        <f t="shared" si="15"/>
        <v>30L-50L</v>
      </c>
    </row>
    <row r="964" spans="1:13" x14ac:dyDescent="0.25">
      <c r="A964" s="6" t="s">
        <v>1004</v>
      </c>
      <c r="B964" s="7">
        <v>46240.629629629628</v>
      </c>
      <c r="C964" s="6" t="s">
        <v>26</v>
      </c>
      <c r="D964" s="6" t="s">
        <v>1063</v>
      </c>
      <c r="E964" s="6" t="s">
        <v>15</v>
      </c>
      <c r="F964" s="10">
        <v>7591175</v>
      </c>
      <c r="G964" s="6">
        <v>1</v>
      </c>
      <c r="H964" s="6" t="s">
        <v>16</v>
      </c>
      <c r="I964" s="6" t="s">
        <v>17</v>
      </c>
      <c r="J964" s="6" t="s">
        <v>23</v>
      </c>
      <c r="K964" s="6" t="s">
        <v>24</v>
      </c>
      <c r="L964" s="6"/>
      <c r="M964" s="6" t="str">
        <f t="shared" si="15"/>
        <v>50L-80L</v>
      </c>
    </row>
    <row r="965" spans="1:13" x14ac:dyDescent="0.25">
      <c r="A965" s="6" t="s">
        <v>1005</v>
      </c>
      <c r="B965" s="7">
        <v>46240.855856481481</v>
      </c>
      <c r="C965" s="6" t="s">
        <v>26</v>
      </c>
      <c r="D965" s="6" t="s">
        <v>21</v>
      </c>
      <c r="E965" s="6" t="s">
        <v>27</v>
      </c>
      <c r="F965" s="10">
        <v>5407015</v>
      </c>
      <c r="G965" s="6">
        <v>2</v>
      </c>
      <c r="H965" s="6" t="s">
        <v>37</v>
      </c>
      <c r="I965" s="6" t="s">
        <v>23</v>
      </c>
      <c r="J965" s="6" t="s">
        <v>23</v>
      </c>
      <c r="K965" s="6" t="s">
        <v>28</v>
      </c>
      <c r="L965" s="6"/>
      <c r="M965" s="6" t="str">
        <f t="shared" si="15"/>
        <v>50L-80L</v>
      </c>
    </row>
    <row r="966" spans="1:13" x14ac:dyDescent="0.25">
      <c r="A966" s="6" t="s">
        <v>1006</v>
      </c>
      <c r="B966" s="7">
        <v>46241.082083333335</v>
      </c>
      <c r="C966" s="6" t="s">
        <v>26</v>
      </c>
      <c r="D966" s="6" t="s">
        <v>1060</v>
      </c>
      <c r="E966" s="6" t="s">
        <v>27</v>
      </c>
      <c r="F966" s="10">
        <v>2347516</v>
      </c>
      <c r="G966" s="6">
        <v>3</v>
      </c>
      <c r="H966" s="6" t="s">
        <v>16</v>
      </c>
      <c r="I966" s="6" t="s">
        <v>17</v>
      </c>
      <c r="J966" s="6" t="s">
        <v>17</v>
      </c>
      <c r="K966" s="6" t="s">
        <v>18</v>
      </c>
      <c r="L966" s="6">
        <v>2450000</v>
      </c>
      <c r="M966" s="6" t="str">
        <f t="shared" si="15"/>
        <v>Below 30L</v>
      </c>
    </row>
    <row r="967" spans="1:13" x14ac:dyDescent="0.25">
      <c r="A967" s="6" t="s">
        <v>1007</v>
      </c>
      <c r="B967" s="7">
        <v>46241.308310185188</v>
      </c>
      <c r="C967" s="6" t="s">
        <v>26</v>
      </c>
      <c r="D967" s="6" t="s">
        <v>1060</v>
      </c>
      <c r="E967" s="6" t="s">
        <v>22</v>
      </c>
      <c r="F967" s="10">
        <v>8345156</v>
      </c>
      <c r="G967" s="6">
        <v>1</v>
      </c>
      <c r="H967" s="6" t="s">
        <v>16</v>
      </c>
      <c r="I967" s="6" t="s">
        <v>23</v>
      </c>
      <c r="J967" s="6" t="s">
        <v>23</v>
      </c>
      <c r="K967" s="6" t="s">
        <v>28</v>
      </c>
      <c r="L967" s="6"/>
      <c r="M967" s="6" t="str">
        <f t="shared" si="15"/>
        <v>80L-1.2Cr</v>
      </c>
    </row>
    <row r="968" spans="1:13" x14ac:dyDescent="0.25">
      <c r="A968" s="6" t="s">
        <v>1008</v>
      </c>
      <c r="B968" s="7">
        <v>46241.534537037034</v>
      </c>
      <c r="C968" s="6" t="s">
        <v>30</v>
      </c>
      <c r="D968" s="6" t="s">
        <v>1059</v>
      </c>
      <c r="E968" s="6" t="s">
        <v>22</v>
      </c>
      <c r="F968" s="10">
        <v>9571193</v>
      </c>
      <c r="G968" s="6">
        <v>1</v>
      </c>
      <c r="H968" s="6" t="s">
        <v>16</v>
      </c>
      <c r="I968" s="6" t="s">
        <v>23</v>
      </c>
      <c r="J968" s="6" t="s">
        <v>23</v>
      </c>
      <c r="K968" s="6" t="s">
        <v>28</v>
      </c>
      <c r="L968" s="6"/>
      <c r="M968" s="6" t="str">
        <f t="shared" si="15"/>
        <v>80L-1.2Cr</v>
      </c>
    </row>
    <row r="969" spans="1:13" x14ac:dyDescent="0.25">
      <c r="A969" s="6" t="s">
        <v>1009</v>
      </c>
      <c r="B969" s="7">
        <v>46241.760763888888</v>
      </c>
      <c r="C969" s="6" t="s">
        <v>26</v>
      </c>
      <c r="D969" s="6" t="s">
        <v>21</v>
      </c>
      <c r="E969" s="6" t="s">
        <v>22</v>
      </c>
      <c r="F969" s="10">
        <v>7860371</v>
      </c>
      <c r="G969" s="6">
        <v>1</v>
      </c>
      <c r="H969" s="6" t="s">
        <v>16</v>
      </c>
      <c r="I969" s="6" t="s">
        <v>23</v>
      </c>
      <c r="J969" s="6" t="s">
        <v>23</v>
      </c>
      <c r="K969" s="6" t="s">
        <v>28</v>
      </c>
      <c r="L969" s="6"/>
      <c r="M969" s="6" t="str">
        <f t="shared" si="15"/>
        <v>50L-80L</v>
      </c>
    </row>
    <row r="970" spans="1:13" x14ac:dyDescent="0.25">
      <c r="A970" s="6" t="s">
        <v>1010</v>
      </c>
      <c r="B970" s="7">
        <v>46241.986990740741</v>
      </c>
      <c r="C970" s="6" t="s">
        <v>20</v>
      </c>
      <c r="D970" s="6" t="s">
        <v>21</v>
      </c>
      <c r="E970" s="6" t="s">
        <v>27</v>
      </c>
      <c r="F970" s="10">
        <v>2987056</v>
      </c>
      <c r="G970" s="6">
        <v>4</v>
      </c>
      <c r="H970" s="6" t="s">
        <v>37</v>
      </c>
      <c r="I970" s="6" t="s">
        <v>17</v>
      </c>
      <c r="J970" s="6" t="s">
        <v>17</v>
      </c>
      <c r="K970" s="6" t="s">
        <v>24</v>
      </c>
      <c r="L970" s="6"/>
      <c r="M970" s="6" t="str">
        <f t="shared" si="15"/>
        <v>Below 30L</v>
      </c>
    </row>
    <row r="971" spans="1:13" x14ac:dyDescent="0.25">
      <c r="A971" s="6" t="s">
        <v>1011</v>
      </c>
      <c r="B971" s="7">
        <v>46242.213217592594</v>
      </c>
      <c r="C971" s="6" t="s">
        <v>20</v>
      </c>
      <c r="D971" s="6" t="s">
        <v>1059</v>
      </c>
      <c r="E971" s="6" t="s">
        <v>15</v>
      </c>
      <c r="F971" s="10">
        <v>4313804</v>
      </c>
      <c r="G971" s="6">
        <v>6</v>
      </c>
      <c r="H971" s="6" t="s">
        <v>37</v>
      </c>
      <c r="I971" s="6" t="s">
        <v>23</v>
      </c>
      <c r="J971" s="6" t="s">
        <v>23</v>
      </c>
      <c r="K971" s="6" t="s">
        <v>18</v>
      </c>
      <c r="L971" s="6">
        <v>4300000</v>
      </c>
      <c r="M971" s="6" t="str">
        <f t="shared" si="15"/>
        <v>30L-50L</v>
      </c>
    </row>
    <row r="972" spans="1:13" x14ac:dyDescent="0.25">
      <c r="A972" s="6" t="s">
        <v>1012</v>
      </c>
      <c r="B972" s="7">
        <v>46242.439444444448</v>
      </c>
      <c r="C972" s="6" t="s">
        <v>30</v>
      </c>
      <c r="D972" s="6" t="s">
        <v>1059</v>
      </c>
      <c r="E972" s="6" t="s">
        <v>15</v>
      </c>
      <c r="F972" s="10">
        <v>3787163</v>
      </c>
      <c r="G972" s="6">
        <v>6</v>
      </c>
      <c r="H972" s="6" t="s">
        <v>16</v>
      </c>
      <c r="I972" s="6" t="s">
        <v>23</v>
      </c>
      <c r="J972" s="6" t="s">
        <v>17</v>
      </c>
      <c r="K972" s="6" t="s">
        <v>18</v>
      </c>
      <c r="L972" s="6">
        <v>3900000</v>
      </c>
      <c r="M972" s="6" t="str">
        <f t="shared" si="15"/>
        <v>30L-50L</v>
      </c>
    </row>
    <row r="973" spans="1:13" x14ac:dyDescent="0.25">
      <c r="A973" s="6" t="s">
        <v>1013</v>
      </c>
      <c r="B973" s="7">
        <v>46242.665671296294</v>
      </c>
      <c r="C973" s="6" t="s">
        <v>33</v>
      </c>
      <c r="D973" s="6" t="s">
        <v>1063</v>
      </c>
      <c r="E973" s="6" t="s">
        <v>15</v>
      </c>
      <c r="F973" s="10">
        <v>3263749</v>
      </c>
      <c r="G973" s="6">
        <v>2</v>
      </c>
      <c r="H973" s="6" t="s">
        <v>16</v>
      </c>
      <c r="I973" s="6" t="s">
        <v>17</v>
      </c>
      <c r="J973" s="6" t="s">
        <v>23</v>
      </c>
      <c r="K973" s="6" t="s">
        <v>24</v>
      </c>
      <c r="L973" s="6"/>
      <c r="M973" s="6" t="str">
        <f t="shared" si="15"/>
        <v>30L-50L</v>
      </c>
    </row>
    <row r="974" spans="1:13" x14ac:dyDescent="0.25">
      <c r="A974" s="6" t="s">
        <v>1014</v>
      </c>
      <c r="B974" s="7">
        <v>46242.891886574071</v>
      </c>
      <c r="C974" s="6" t="s">
        <v>36</v>
      </c>
      <c r="D974" s="6" t="s">
        <v>1059</v>
      </c>
      <c r="E974" s="6" t="s">
        <v>22</v>
      </c>
      <c r="F974" s="10">
        <v>8260554</v>
      </c>
      <c r="G974" s="6">
        <v>5</v>
      </c>
      <c r="H974" s="6" t="s">
        <v>16</v>
      </c>
      <c r="I974" s="6" t="s">
        <v>17</v>
      </c>
      <c r="J974" s="6" t="s">
        <v>17</v>
      </c>
      <c r="K974" s="6" t="s">
        <v>24</v>
      </c>
      <c r="L974" s="6"/>
      <c r="M974" s="6" t="str">
        <f t="shared" si="15"/>
        <v>80L-1.2Cr</v>
      </c>
    </row>
    <row r="975" spans="1:13" x14ac:dyDescent="0.25">
      <c r="A975" s="6" t="s">
        <v>1015</v>
      </c>
      <c r="B975" s="7">
        <v>46243.118113425924</v>
      </c>
      <c r="C975" s="6" t="s">
        <v>26</v>
      </c>
      <c r="D975" s="6" t="s">
        <v>1060</v>
      </c>
      <c r="E975" s="6" t="s">
        <v>22</v>
      </c>
      <c r="F975" s="10">
        <v>8919008</v>
      </c>
      <c r="G975" s="6">
        <v>4</v>
      </c>
      <c r="H975" s="6" t="s">
        <v>16</v>
      </c>
      <c r="I975" s="6" t="s">
        <v>23</v>
      </c>
      <c r="J975" s="6" t="s">
        <v>23</v>
      </c>
      <c r="K975" s="6" t="s">
        <v>28</v>
      </c>
      <c r="L975" s="6"/>
      <c r="M975" s="6" t="str">
        <f t="shared" si="15"/>
        <v>80L-1.2Cr</v>
      </c>
    </row>
    <row r="976" spans="1:13" x14ac:dyDescent="0.25">
      <c r="A976" s="6" t="s">
        <v>1016</v>
      </c>
      <c r="B976" s="7">
        <v>46243.344340277778</v>
      </c>
      <c r="C976" s="6" t="s">
        <v>13</v>
      </c>
      <c r="D976" s="6" t="s">
        <v>21</v>
      </c>
      <c r="E976" s="6" t="s">
        <v>15</v>
      </c>
      <c r="F976" s="10">
        <v>5923062</v>
      </c>
      <c r="G976" s="6">
        <v>3</v>
      </c>
      <c r="H976" s="6" t="s">
        <v>16</v>
      </c>
      <c r="I976" s="6" t="s">
        <v>23</v>
      </c>
      <c r="J976" s="6" t="s">
        <v>23</v>
      </c>
      <c r="K976" s="6" t="s">
        <v>28</v>
      </c>
      <c r="L976" s="6"/>
      <c r="M976" s="6" t="str">
        <f t="shared" si="15"/>
        <v>50L-80L</v>
      </c>
    </row>
    <row r="977" spans="1:13" x14ac:dyDescent="0.25">
      <c r="A977" s="6" t="s">
        <v>1017</v>
      </c>
      <c r="B977" s="7">
        <v>46243.570567129631</v>
      </c>
      <c r="C977" s="6" t="s">
        <v>26</v>
      </c>
      <c r="D977" s="6" t="s">
        <v>1061</v>
      </c>
      <c r="E977" s="6" t="s">
        <v>15</v>
      </c>
      <c r="F977" s="10">
        <v>3509394</v>
      </c>
      <c r="G977" s="6">
        <v>3</v>
      </c>
      <c r="H977" s="6" t="s">
        <v>16</v>
      </c>
      <c r="I977" s="6" t="s">
        <v>17</v>
      </c>
      <c r="J977" s="6" t="s">
        <v>23</v>
      </c>
      <c r="K977" s="6" t="s">
        <v>24</v>
      </c>
      <c r="L977" s="6"/>
      <c r="M977" s="6" t="str">
        <f t="shared" si="15"/>
        <v>30L-50L</v>
      </c>
    </row>
    <row r="978" spans="1:13" x14ac:dyDescent="0.25">
      <c r="A978" s="6" t="s">
        <v>1018</v>
      </c>
      <c r="B978" s="7">
        <v>46243.796793981484</v>
      </c>
      <c r="C978" s="6" t="s">
        <v>30</v>
      </c>
      <c r="D978" s="6" t="s">
        <v>1059</v>
      </c>
      <c r="E978" s="6" t="s">
        <v>27</v>
      </c>
      <c r="F978" s="10">
        <v>3544062</v>
      </c>
      <c r="G978" s="6">
        <v>1</v>
      </c>
      <c r="H978" s="6" t="s">
        <v>16</v>
      </c>
      <c r="I978" s="6" t="s">
        <v>17</v>
      </c>
      <c r="J978" s="6" t="s">
        <v>23</v>
      </c>
      <c r="K978" s="6" t="s">
        <v>24</v>
      </c>
      <c r="L978" s="6"/>
      <c r="M978" s="6" t="str">
        <f t="shared" si="15"/>
        <v>30L-50L</v>
      </c>
    </row>
    <row r="979" spans="1:13" x14ac:dyDescent="0.25">
      <c r="A979" s="6" t="s">
        <v>1019</v>
      </c>
      <c r="B979" s="7">
        <v>46244.023020833331</v>
      </c>
      <c r="C979" s="6" t="s">
        <v>13</v>
      </c>
      <c r="D979" s="6" t="s">
        <v>21</v>
      </c>
      <c r="E979" s="6" t="s">
        <v>15</v>
      </c>
      <c r="F979" s="10">
        <v>4813560</v>
      </c>
      <c r="G979" s="6">
        <v>5</v>
      </c>
      <c r="H979" s="6" t="s">
        <v>16</v>
      </c>
      <c r="I979" s="6" t="s">
        <v>17</v>
      </c>
      <c r="J979" s="6" t="s">
        <v>23</v>
      </c>
      <c r="K979" s="6" t="s">
        <v>24</v>
      </c>
      <c r="L979" s="6"/>
      <c r="M979" s="6" t="str">
        <f t="shared" si="15"/>
        <v>30L-50L</v>
      </c>
    </row>
    <row r="980" spans="1:13" x14ac:dyDescent="0.25">
      <c r="A980" s="6" t="s">
        <v>1020</v>
      </c>
      <c r="B980" s="7">
        <v>46244.249247685184</v>
      </c>
      <c r="C980" s="6" t="s">
        <v>20</v>
      </c>
      <c r="D980" s="6" t="s">
        <v>1061</v>
      </c>
      <c r="E980" s="6" t="s">
        <v>22</v>
      </c>
      <c r="F980" s="10">
        <v>9084719</v>
      </c>
      <c r="G980" s="6">
        <v>2</v>
      </c>
      <c r="H980" s="6" t="s">
        <v>16</v>
      </c>
      <c r="I980" s="6" t="s">
        <v>17</v>
      </c>
      <c r="J980" s="6" t="s">
        <v>17</v>
      </c>
      <c r="K980" s="6" t="s">
        <v>18</v>
      </c>
      <c r="L980" s="6">
        <v>8400000</v>
      </c>
      <c r="M980" s="6" t="str">
        <f t="shared" si="15"/>
        <v>80L-1.2Cr</v>
      </c>
    </row>
    <row r="981" spans="1:13" x14ac:dyDescent="0.25">
      <c r="A981" s="6" t="s">
        <v>1021</v>
      </c>
      <c r="B981" s="7">
        <v>46244.475474537037</v>
      </c>
      <c r="C981" s="6" t="s">
        <v>30</v>
      </c>
      <c r="D981" s="6" t="s">
        <v>1063</v>
      </c>
      <c r="E981" s="6" t="s">
        <v>27</v>
      </c>
      <c r="F981" s="10">
        <v>3097207</v>
      </c>
      <c r="G981" s="6">
        <v>2</v>
      </c>
      <c r="H981" s="6" t="s">
        <v>16</v>
      </c>
      <c r="I981" s="6" t="s">
        <v>23</v>
      </c>
      <c r="J981" s="6" t="s">
        <v>17</v>
      </c>
      <c r="K981" s="6" t="s">
        <v>28</v>
      </c>
      <c r="L981" s="6"/>
      <c r="M981" s="6" t="str">
        <f t="shared" si="15"/>
        <v>30L-50L</v>
      </c>
    </row>
    <row r="982" spans="1:13" x14ac:dyDescent="0.25">
      <c r="A982" s="6" t="s">
        <v>1022</v>
      </c>
      <c r="B982" s="7">
        <v>46244.701701388891</v>
      </c>
      <c r="C982" s="6" t="s">
        <v>26</v>
      </c>
      <c r="D982" s="6" t="s">
        <v>1059</v>
      </c>
      <c r="E982" s="6" t="s">
        <v>15</v>
      </c>
      <c r="F982" s="10">
        <v>4907822</v>
      </c>
      <c r="G982" s="6">
        <v>3</v>
      </c>
      <c r="H982" s="6" t="s">
        <v>16</v>
      </c>
      <c r="I982" s="6" t="s">
        <v>23</v>
      </c>
      <c r="J982" s="6" t="s">
        <v>23</v>
      </c>
      <c r="K982" s="6" t="s">
        <v>28</v>
      </c>
      <c r="L982" s="6"/>
      <c r="M982" s="6" t="str">
        <f t="shared" si="15"/>
        <v>30L-50L</v>
      </c>
    </row>
    <row r="983" spans="1:13" x14ac:dyDescent="0.25">
      <c r="A983" s="6" t="s">
        <v>1023</v>
      </c>
      <c r="B983" s="7">
        <v>46244.927928240744</v>
      </c>
      <c r="C983" s="6" t="s">
        <v>36</v>
      </c>
      <c r="D983" s="6" t="s">
        <v>1063</v>
      </c>
      <c r="E983" s="6" t="s">
        <v>15</v>
      </c>
      <c r="F983" s="10">
        <v>4018725</v>
      </c>
      <c r="G983" s="6">
        <v>2</v>
      </c>
      <c r="H983" s="6" t="s">
        <v>16</v>
      </c>
      <c r="I983" s="6" t="s">
        <v>17</v>
      </c>
      <c r="J983" s="6" t="s">
        <v>17</v>
      </c>
      <c r="K983" s="6" t="s">
        <v>24</v>
      </c>
      <c r="L983" s="6"/>
      <c r="M983" s="6" t="str">
        <f t="shared" si="15"/>
        <v>30L-50L</v>
      </c>
    </row>
    <row r="984" spans="1:13" x14ac:dyDescent="0.25">
      <c r="A984" s="6" t="s">
        <v>1024</v>
      </c>
      <c r="B984" s="7">
        <v>46245.15415509259</v>
      </c>
      <c r="C984" s="6" t="s">
        <v>13</v>
      </c>
      <c r="D984" s="6" t="s">
        <v>1060</v>
      </c>
      <c r="E984" s="6" t="s">
        <v>22</v>
      </c>
      <c r="F984" s="10">
        <v>9269566</v>
      </c>
      <c r="G984" s="6">
        <v>2</v>
      </c>
      <c r="H984" s="6" t="s">
        <v>16</v>
      </c>
      <c r="I984" s="6" t="s">
        <v>17</v>
      </c>
      <c r="J984" s="6" t="s">
        <v>17</v>
      </c>
      <c r="K984" s="6" t="s">
        <v>18</v>
      </c>
      <c r="L984" s="6">
        <v>9200000</v>
      </c>
      <c r="M984" s="6" t="str">
        <f t="shared" si="15"/>
        <v>80L-1.2Cr</v>
      </c>
    </row>
    <row r="985" spans="1:13" x14ac:dyDescent="0.25">
      <c r="A985" s="6" t="s">
        <v>1025</v>
      </c>
      <c r="B985" s="7">
        <v>46245.380381944444</v>
      </c>
      <c r="C985" s="6" t="s">
        <v>13</v>
      </c>
      <c r="D985" s="6" t="s">
        <v>1060</v>
      </c>
      <c r="E985" s="6" t="s">
        <v>27</v>
      </c>
      <c r="F985" s="10">
        <v>2933710</v>
      </c>
      <c r="G985" s="6">
        <v>3</v>
      </c>
      <c r="H985" s="6" t="s">
        <v>16</v>
      </c>
      <c r="I985" s="6" t="s">
        <v>17</v>
      </c>
      <c r="J985" s="6" t="s">
        <v>17</v>
      </c>
      <c r="K985" s="6" t="s">
        <v>18</v>
      </c>
      <c r="L985" s="6">
        <v>2850000</v>
      </c>
      <c r="M985" s="6" t="str">
        <f t="shared" si="15"/>
        <v>Below 30L</v>
      </c>
    </row>
    <row r="986" spans="1:13" x14ac:dyDescent="0.25">
      <c r="A986" s="6" t="s">
        <v>1026</v>
      </c>
      <c r="B986" s="7">
        <v>46245.606608796297</v>
      </c>
      <c r="C986" s="6" t="s">
        <v>30</v>
      </c>
      <c r="D986" s="6" t="s">
        <v>1059</v>
      </c>
      <c r="E986" s="6" t="s">
        <v>15</v>
      </c>
      <c r="F986" s="10">
        <v>3020039</v>
      </c>
      <c r="G986" s="6">
        <v>1</v>
      </c>
      <c r="H986" s="6" t="s">
        <v>37</v>
      </c>
      <c r="I986" s="6" t="s">
        <v>23</v>
      </c>
      <c r="J986" s="6" t="s">
        <v>23</v>
      </c>
      <c r="K986" s="6" t="s">
        <v>28</v>
      </c>
      <c r="L986" s="6"/>
      <c r="M986" s="6" t="str">
        <f t="shared" si="15"/>
        <v>30L-50L</v>
      </c>
    </row>
    <row r="987" spans="1:13" x14ac:dyDescent="0.25">
      <c r="A987" s="6" t="s">
        <v>1027</v>
      </c>
      <c r="B987" s="7">
        <v>46245.832835648151</v>
      </c>
      <c r="C987" s="6" t="s">
        <v>20</v>
      </c>
      <c r="D987" s="6" t="s">
        <v>1059</v>
      </c>
      <c r="E987" s="6" t="s">
        <v>27</v>
      </c>
      <c r="F987" s="10">
        <v>2498899</v>
      </c>
      <c r="G987" s="6">
        <v>4</v>
      </c>
      <c r="H987" s="6" t="s">
        <v>37</v>
      </c>
      <c r="I987" s="6" t="s">
        <v>23</v>
      </c>
      <c r="J987" s="6" t="s">
        <v>23</v>
      </c>
      <c r="K987" s="6" t="s">
        <v>18</v>
      </c>
      <c r="L987" s="6">
        <v>2550000</v>
      </c>
      <c r="M987" s="6" t="str">
        <f t="shared" si="15"/>
        <v>Below 30L</v>
      </c>
    </row>
    <row r="988" spans="1:13" x14ac:dyDescent="0.25">
      <c r="A988" s="6" t="s">
        <v>1028</v>
      </c>
      <c r="B988" s="7">
        <v>46246.059062499997</v>
      </c>
      <c r="C988" s="6" t="s">
        <v>30</v>
      </c>
      <c r="D988" s="6" t="s">
        <v>1062</v>
      </c>
      <c r="E988" s="6" t="s">
        <v>15</v>
      </c>
      <c r="F988" s="10">
        <v>4607793</v>
      </c>
      <c r="G988" s="6">
        <v>3</v>
      </c>
      <c r="H988" s="6" t="s">
        <v>37</v>
      </c>
      <c r="I988" s="6" t="s">
        <v>23</v>
      </c>
      <c r="J988" s="6" t="s">
        <v>23</v>
      </c>
      <c r="K988" s="6" t="s">
        <v>28</v>
      </c>
      <c r="L988" s="6"/>
      <c r="M988" s="6" t="str">
        <f t="shared" si="15"/>
        <v>30L-50L</v>
      </c>
    </row>
    <row r="989" spans="1:13" x14ac:dyDescent="0.25">
      <c r="A989" s="6" t="s">
        <v>1029</v>
      </c>
      <c r="B989" s="7">
        <v>46246.28528935185</v>
      </c>
      <c r="C989" s="6" t="s">
        <v>20</v>
      </c>
      <c r="D989" s="6" t="s">
        <v>1060</v>
      </c>
      <c r="E989" s="6" t="s">
        <v>15</v>
      </c>
      <c r="F989" s="10">
        <v>4287116</v>
      </c>
      <c r="G989" s="6">
        <v>3</v>
      </c>
      <c r="H989" s="6" t="s">
        <v>16</v>
      </c>
      <c r="I989" s="6" t="s">
        <v>17</v>
      </c>
      <c r="J989" s="6" t="s">
        <v>23</v>
      </c>
      <c r="K989" s="6" t="s">
        <v>24</v>
      </c>
      <c r="L989" s="6"/>
      <c r="M989" s="6" t="str">
        <f t="shared" si="15"/>
        <v>30L-50L</v>
      </c>
    </row>
    <row r="990" spans="1:13" x14ac:dyDescent="0.25">
      <c r="A990" s="6" t="s">
        <v>1030</v>
      </c>
      <c r="B990" s="7">
        <v>46246.511516203704</v>
      </c>
      <c r="C990" s="6" t="s">
        <v>26</v>
      </c>
      <c r="D990" s="6" t="s">
        <v>21</v>
      </c>
      <c r="E990" s="6" t="s">
        <v>22</v>
      </c>
      <c r="F990" s="10">
        <v>16205090</v>
      </c>
      <c r="G990" s="6">
        <v>3</v>
      </c>
      <c r="H990" s="6" t="s">
        <v>16</v>
      </c>
      <c r="I990" s="6" t="s">
        <v>17</v>
      </c>
      <c r="J990" s="6" t="s">
        <v>17</v>
      </c>
      <c r="K990" s="6" t="s">
        <v>24</v>
      </c>
      <c r="L990" s="6"/>
      <c r="M990" s="6" t="str">
        <f t="shared" si="15"/>
        <v>Above 1.2Cr</v>
      </c>
    </row>
    <row r="991" spans="1:13" x14ac:dyDescent="0.25">
      <c r="A991" s="6" t="s">
        <v>1031</v>
      </c>
      <c r="B991" s="7">
        <v>46246.737743055557</v>
      </c>
      <c r="C991" s="6" t="s">
        <v>36</v>
      </c>
      <c r="D991" s="6" t="s">
        <v>1062</v>
      </c>
      <c r="E991" s="6" t="s">
        <v>27</v>
      </c>
      <c r="F991" s="10">
        <v>2348389</v>
      </c>
      <c r="G991" s="6">
        <v>3</v>
      </c>
      <c r="H991" s="6" t="s">
        <v>16</v>
      </c>
      <c r="I991" s="6" t="s">
        <v>17</v>
      </c>
      <c r="J991" s="6" t="s">
        <v>17</v>
      </c>
      <c r="K991" s="6" t="s">
        <v>18</v>
      </c>
      <c r="L991" s="6">
        <v>2150000</v>
      </c>
      <c r="M991" s="6" t="str">
        <f t="shared" si="15"/>
        <v>Below 30L</v>
      </c>
    </row>
    <row r="992" spans="1:13" x14ac:dyDescent="0.25">
      <c r="A992" s="6" t="s">
        <v>1032</v>
      </c>
      <c r="B992" s="7">
        <v>46246.963958333334</v>
      </c>
      <c r="C992" s="6" t="s">
        <v>36</v>
      </c>
      <c r="D992" s="6" t="s">
        <v>1063</v>
      </c>
      <c r="E992" s="6" t="s">
        <v>15</v>
      </c>
      <c r="F992" s="10">
        <v>5358327</v>
      </c>
      <c r="G992" s="6">
        <v>3</v>
      </c>
      <c r="H992" s="6" t="s">
        <v>37</v>
      </c>
      <c r="I992" s="6" t="s">
        <v>23</v>
      </c>
      <c r="J992" s="6" t="s">
        <v>23</v>
      </c>
      <c r="K992" s="6" t="s">
        <v>28</v>
      </c>
      <c r="L992" s="6"/>
      <c r="M992" s="6" t="str">
        <f t="shared" si="15"/>
        <v>50L-80L</v>
      </c>
    </row>
    <row r="993" spans="1:13" x14ac:dyDescent="0.25">
      <c r="A993" s="6" t="s">
        <v>1033</v>
      </c>
      <c r="B993" s="7">
        <v>46247.190185185187</v>
      </c>
      <c r="C993" s="6" t="s">
        <v>30</v>
      </c>
      <c r="D993" s="6" t="s">
        <v>1059</v>
      </c>
      <c r="E993" s="6" t="s">
        <v>27</v>
      </c>
      <c r="F993" s="10">
        <v>5150654</v>
      </c>
      <c r="G993" s="6">
        <v>3</v>
      </c>
      <c r="H993" s="6" t="s">
        <v>16</v>
      </c>
      <c r="I993" s="6" t="s">
        <v>17</v>
      </c>
      <c r="J993" s="6" t="s">
        <v>23</v>
      </c>
      <c r="K993" s="6" t="s">
        <v>24</v>
      </c>
      <c r="L993" s="6"/>
      <c r="M993" s="6" t="str">
        <f t="shared" si="15"/>
        <v>50L-80L</v>
      </c>
    </row>
    <row r="994" spans="1:13" x14ac:dyDescent="0.25">
      <c r="A994" s="6" t="s">
        <v>1034</v>
      </c>
      <c r="B994" s="7">
        <v>46247.416412037041</v>
      </c>
      <c r="C994" s="6" t="s">
        <v>26</v>
      </c>
      <c r="D994" s="6" t="s">
        <v>1062</v>
      </c>
      <c r="E994" s="6" t="s">
        <v>22</v>
      </c>
      <c r="F994" s="10">
        <v>8488144</v>
      </c>
      <c r="G994" s="6">
        <v>4</v>
      </c>
      <c r="H994" s="6" t="s">
        <v>37</v>
      </c>
      <c r="I994" s="6" t="s">
        <v>17</v>
      </c>
      <c r="J994" s="6" t="s">
        <v>23</v>
      </c>
      <c r="K994" s="6" t="s">
        <v>24</v>
      </c>
      <c r="L994" s="6"/>
      <c r="M994" s="6" t="str">
        <f t="shared" si="15"/>
        <v>80L-1.2Cr</v>
      </c>
    </row>
    <row r="995" spans="1:13" x14ac:dyDescent="0.25">
      <c r="A995" s="6" t="s">
        <v>1035</v>
      </c>
      <c r="B995" s="7">
        <v>46247.642638888887</v>
      </c>
      <c r="C995" s="6" t="s">
        <v>30</v>
      </c>
      <c r="D995" s="6" t="s">
        <v>1059</v>
      </c>
      <c r="E995" s="6" t="s">
        <v>15</v>
      </c>
      <c r="F995" s="10">
        <v>5886827</v>
      </c>
      <c r="G995" s="6">
        <v>4</v>
      </c>
      <c r="H995" s="6" t="s">
        <v>16</v>
      </c>
      <c r="I995" s="6" t="s">
        <v>17</v>
      </c>
      <c r="J995" s="6" t="s">
        <v>23</v>
      </c>
      <c r="K995" s="6" t="s">
        <v>24</v>
      </c>
      <c r="L995" s="6"/>
      <c r="M995" s="6" t="str">
        <f t="shared" si="15"/>
        <v>50L-80L</v>
      </c>
    </row>
    <row r="996" spans="1:13" x14ac:dyDescent="0.25">
      <c r="A996" s="6" t="s">
        <v>1036</v>
      </c>
      <c r="B996" s="7">
        <v>46247.86886574074</v>
      </c>
      <c r="C996" s="6" t="s">
        <v>26</v>
      </c>
      <c r="D996" s="6" t="s">
        <v>1063</v>
      </c>
      <c r="E996" s="6" t="s">
        <v>15</v>
      </c>
      <c r="F996" s="10">
        <v>5891731</v>
      </c>
      <c r="G996" s="6">
        <v>5</v>
      </c>
      <c r="H996" s="6" t="s">
        <v>37</v>
      </c>
      <c r="I996" s="6" t="s">
        <v>23</v>
      </c>
      <c r="J996" s="6" t="s">
        <v>23</v>
      </c>
      <c r="K996" s="6" t="s">
        <v>28</v>
      </c>
      <c r="L996" s="6"/>
      <c r="M996" s="6" t="str">
        <f t="shared" si="15"/>
        <v>50L-80L</v>
      </c>
    </row>
    <row r="997" spans="1:13" x14ac:dyDescent="0.25">
      <c r="A997" s="6" t="s">
        <v>1037</v>
      </c>
      <c r="B997" s="7">
        <v>46248.095092592594</v>
      </c>
      <c r="C997" s="6" t="s">
        <v>13</v>
      </c>
      <c r="D997" s="6" t="s">
        <v>1062</v>
      </c>
      <c r="E997" s="6" t="s">
        <v>27</v>
      </c>
      <c r="F997" s="10">
        <v>2394235</v>
      </c>
      <c r="G997" s="6">
        <v>1</v>
      </c>
      <c r="H997" s="6" t="s">
        <v>37</v>
      </c>
      <c r="I997" s="6" t="s">
        <v>23</v>
      </c>
      <c r="J997" s="6" t="s">
        <v>23</v>
      </c>
      <c r="K997" s="6" t="s">
        <v>28</v>
      </c>
      <c r="L997" s="6"/>
      <c r="M997" s="6" t="str">
        <f t="shared" si="15"/>
        <v>Below 30L</v>
      </c>
    </row>
    <row r="998" spans="1:13" x14ac:dyDescent="0.25">
      <c r="A998" s="6" t="s">
        <v>1038</v>
      </c>
      <c r="B998" s="7">
        <v>46248.321319444447</v>
      </c>
      <c r="C998" s="6" t="s">
        <v>33</v>
      </c>
      <c r="D998" s="6" t="s">
        <v>1061</v>
      </c>
      <c r="E998" s="6" t="s">
        <v>15</v>
      </c>
      <c r="F998" s="10">
        <v>4886214</v>
      </c>
      <c r="G998" s="6">
        <v>2</v>
      </c>
      <c r="H998" s="6" t="s">
        <v>16</v>
      </c>
      <c r="I998" s="6" t="s">
        <v>23</v>
      </c>
      <c r="J998" s="6" t="s">
        <v>23</v>
      </c>
      <c r="K998" s="6" t="s">
        <v>28</v>
      </c>
      <c r="L998" s="6"/>
      <c r="M998" s="6" t="str">
        <f t="shared" si="15"/>
        <v>30L-50L</v>
      </c>
    </row>
    <row r="999" spans="1:13" x14ac:dyDescent="0.25">
      <c r="A999" s="6" t="s">
        <v>1039</v>
      </c>
      <c r="B999" s="7">
        <v>46248.547546296293</v>
      </c>
      <c r="C999" s="6" t="s">
        <v>13</v>
      </c>
      <c r="D999" s="6" t="s">
        <v>1059</v>
      </c>
      <c r="E999" s="6" t="s">
        <v>15</v>
      </c>
      <c r="F999" s="10">
        <v>3416690</v>
      </c>
      <c r="G999" s="6">
        <v>5</v>
      </c>
      <c r="H999" s="6" t="s">
        <v>16</v>
      </c>
      <c r="I999" s="6" t="s">
        <v>23</v>
      </c>
      <c r="J999" s="6" t="s">
        <v>23</v>
      </c>
      <c r="K999" s="6" t="s">
        <v>28</v>
      </c>
      <c r="L999" s="6"/>
      <c r="M999" s="6" t="str">
        <f t="shared" si="15"/>
        <v>30L-50L</v>
      </c>
    </row>
    <row r="1000" spans="1:13" x14ac:dyDescent="0.25">
      <c r="A1000" s="6" t="s">
        <v>1040</v>
      </c>
      <c r="B1000" s="7">
        <v>46248.773773148147</v>
      </c>
      <c r="C1000" s="6" t="s">
        <v>33</v>
      </c>
      <c r="D1000" s="6" t="s">
        <v>1059</v>
      </c>
      <c r="E1000" s="6" t="s">
        <v>15</v>
      </c>
      <c r="F1000" s="10">
        <v>6652118</v>
      </c>
      <c r="G1000" s="6">
        <v>2</v>
      </c>
      <c r="H1000" s="6" t="s">
        <v>16</v>
      </c>
      <c r="I1000" s="6" t="s">
        <v>17</v>
      </c>
      <c r="J1000" s="6" t="s">
        <v>23</v>
      </c>
      <c r="K1000" s="6" t="s">
        <v>24</v>
      </c>
      <c r="L1000" s="6"/>
      <c r="M1000" s="6" t="str">
        <f t="shared" si="15"/>
        <v>50L-80L</v>
      </c>
    </row>
    <row r="1001" spans="1:13" x14ac:dyDescent="0.25">
      <c r="A1001" s="6" t="s">
        <v>1041</v>
      </c>
      <c r="B1001" s="7">
        <v>46249</v>
      </c>
      <c r="C1001" s="6" t="s">
        <v>20</v>
      </c>
      <c r="D1001" s="6" t="s">
        <v>21</v>
      </c>
      <c r="E1001" s="6" t="s">
        <v>27</v>
      </c>
      <c r="F1001" s="10">
        <v>4547486</v>
      </c>
      <c r="G1001" s="6">
        <v>1</v>
      </c>
      <c r="H1001" s="6" t="s">
        <v>16</v>
      </c>
      <c r="I1001" s="6" t="s">
        <v>17</v>
      </c>
      <c r="J1001" s="6" t="s">
        <v>23</v>
      </c>
      <c r="K1001" s="6" t="s">
        <v>24</v>
      </c>
      <c r="L1001" s="6"/>
      <c r="M1001" s="6" t="str">
        <f t="shared" si="15"/>
        <v>30L-50L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1"/>
  <sheetViews>
    <sheetView workbookViewId="0">
      <selection activeCell="F3" sqref="F3"/>
    </sheetView>
  </sheetViews>
  <sheetFormatPr defaultRowHeight="15" x14ac:dyDescent="0.25"/>
  <cols>
    <col min="1" max="1" width="16.140625" bestFit="1" customWidth="1"/>
    <col min="2" max="2" width="16.28515625" bestFit="1" customWidth="1"/>
    <col min="3" max="3" width="10" bestFit="1" customWidth="1"/>
    <col min="4" max="4" width="4.5703125" customWidth="1"/>
    <col min="5" max="5" width="11.28515625" bestFit="1" customWidth="1"/>
  </cols>
  <sheetData>
    <row r="2" spans="1:5" x14ac:dyDescent="0.25">
      <c r="A2" s="13" t="s">
        <v>1057</v>
      </c>
      <c r="B2" s="13" t="s">
        <v>1058</v>
      </c>
    </row>
    <row r="3" spans="1:5" x14ac:dyDescent="0.25">
      <c r="A3" s="13" t="s">
        <v>1055</v>
      </c>
      <c r="B3" t="s">
        <v>18</v>
      </c>
      <c r="C3" t="s">
        <v>24</v>
      </c>
      <c r="D3" t="s">
        <v>28</v>
      </c>
      <c r="E3" t="s">
        <v>1056</v>
      </c>
    </row>
    <row r="4" spans="1:5" x14ac:dyDescent="0.25">
      <c r="A4" s="14" t="s">
        <v>20</v>
      </c>
      <c r="B4" s="15">
        <v>28</v>
      </c>
      <c r="C4" s="15">
        <v>75</v>
      </c>
      <c r="D4" s="15">
        <v>62</v>
      </c>
      <c r="E4" s="15">
        <v>165</v>
      </c>
    </row>
    <row r="5" spans="1:5" x14ac:dyDescent="0.25">
      <c r="A5" s="14" t="s">
        <v>26</v>
      </c>
      <c r="B5" s="15">
        <v>44</v>
      </c>
      <c r="C5" s="15">
        <v>74</v>
      </c>
      <c r="D5" s="15">
        <v>78</v>
      </c>
      <c r="E5" s="15">
        <v>196</v>
      </c>
    </row>
    <row r="6" spans="1:5" x14ac:dyDescent="0.25">
      <c r="A6" s="14" t="s">
        <v>30</v>
      </c>
      <c r="B6" s="15">
        <v>22</v>
      </c>
      <c r="C6" s="15">
        <v>72</v>
      </c>
      <c r="D6" s="15">
        <v>58</v>
      </c>
      <c r="E6" s="15">
        <v>152</v>
      </c>
    </row>
    <row r="7" spans="1:5" x14ac:dyDescent="0.25">
      <c r="A7" s="14" t="s">
        <v>36</v>
      </c>
      <c r="B7" s="15">
        <v>28</v>
      </c>
      <c r="C7" s="15">
        <v>71</v>
      </c>
      <c r="D7" s="15">
        <v>62</v>
      </c>
      <c r="E7" s="15">
        <v>161</v>
      </c>
    </row>
    <row r="8" spans="1:5" x14ac:dyDescent="0.25">
      <c r="A8" s="14" t="s">
        <v>33</v>
      </c>
      <c r="B8" s="15">
        <v>27</v>
      </c>
      <c r="C8" s="15">
        <v>40</v>
      </c>
      <c r="D8" s="15">
        <v>33</v>
      </c>
      <c r="E8" s="15">
        <v>100</v>
      </c>
    </row>
    <row r="9" spans="1:5" x14ac:dyDescent="0.25">
      <c r="A9" s="14" t="s">
        <v>1042</v>
      </c>
      <c r="B9" s="15"/>
      <c r="C9" s="15">
        <v>1</v>
      </c>
      <c r="D9" s="15"/>
      <c r="E9" s="15">
        <v>1</v>
      </c>
    </row>
    <row r="10" spans="1:5" x14ac:dyDescent="0.25">
      <c r="A10" s="14" t="s">
        <v>13</v>
      </c>
      <c r="B10" s="15">
        <v>53</v>
      </c>
      <c r="C10" s="15">
        <v>81</v>
      </c>
      <c r="D10" s="15">
        <v>91</v>
      </c>
      <c r="E10" s="15">
        <v>225</v>
      </c>
    </row>
    <row r="11" spans="1:5" x14ac:dyDescent="0.25">
      <c r="A11" s="14" t="s">
        <v>1056</v>
      </c>
      <c r="B11" s="15">
        <v>202</v>
      </c>
      <c r="C11" s="15">
        <v>414</v>
      </c>
      <c r="D11" s="15">
        <v>384</v>
      </c>
      <c r="E11" s="15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>
      <selection activeCell="L16" sqref="L16"/>
    </sheetView>
  </sheetViews>
  <sheetFormatPr defaultRowHeight="15" x14ac:dyDescent="0.25"/>
  <cols>
    <col min="1" max="1" width="16.140625" bestFit="1" customWidth="1"/>
    <col min="2" max="2" width="16.28515625" bestFit="1" customWidth="1"/>
    <col min="3" max="3" width="10" bestFit="1" customWidth="1"/>
    <col min="4" max="4" width="4.5703125" customWidth="1"/>
    <col min="5" max="5" width="11.28515625" bestFit="1" customWidth="1"/>
  </cols>
  <sheetData>
    <row r="2" spans="1:5" x14ac:dyDescent="0.25">
      <c r="A2" s="13" t="s">
        <v>1057</v>
      </c>
      <c r="B2" s="13" t="s">
        <v>1058</v>
      </c>
    </row>
    <row r="3" spans="1:5" x14ac:dyDescent="0.25">
      <c r="A3" s="13" t="s">
        <v>1055</v>
      </c>
      <c r="B3" t="s">
        <v>18</v>
      </c>
      <c r="C3" t="s">
        <v>24</v>
      </c>
      <c r="D3" t="s">
        <v>28</v>
      </c>
      <c r="E3" t="s">
        <v>1056</v>
      </c>
    </row>
    <row r="4" spans="1:5" x14ac:dyDescent="0.25">
      <c r="A4" s="14" t="s">
        <v>15</v>
      </c>
      <c r="B4" s="15">
        <v>107</v>
      </c>
      <c r="C4" s="15">
        <v>233</v>
      </c>
      <c r="D4" s="15">
        <v>214</v>
      </c>
      <c r="E4" s="15">
        <v>554</v>
      </c>
    </row>
    <row r="5" spans="1:5" x14ac:dyDescent="0.25">
      <c r="A5" s="14" t="s">
        <v>27</v>
      </c>
      <c r="B5" s="15">
        <v>41</v>
      </c>
      <c r="C5" s="15">
        <v>76</v>
      </c>
      <c r="D5" s="15">
        <v>87</v>
      </c>
      <c r="E5" s="15">
        <v>204</v>
      </c>
    </row>
    <row r="6" spans="1:5" x14ac:dyDescent="0.25">
      <c r="A6" s="14" t="s">
        <v>1042</v>
      </c>
      <c r="B6" s="15"/>
      <c r="C6" s="15">
        <v>1</v>
      </c>
      <c r="D6" s="15"/>
      <c r="E6" s="15">
        <v>1</v>
      </c>
    </row>
    <row r="7" spans="1:5" x14ac:dyDescent="0.25">
      <c r="A7" s="14" t="s">
        <v>22</v>
      </c>
      <c r="B7" s="15">
        <v>54</v>
      </c>
      <c r="C7" s="15">
        <v>104</v>
      </c>
      <c r="D7" s="15">
        <v>83</v>
      </c>
      <c r="E7" s="15">
        <v>241</v>
      </c>
    </row>
    <row r="8" spans="1:5" x14ac:dyDescent="0.25">
      <c r="A8" s="14" t="s">
        <v>1056</v>
      </c>
      <c r="B8" s="15">
        <v>202</v>
      </c>
      <c r="C8" s="15">
        <v>414</v>
      </c>
      <c r="D8" s="15">
        <v>384</v>
      </c>
      <c r="E8" s="15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1"/>
  <sheetViews>
    <sheetView workbookViewId="0">
      <selection activeCell="F21" sqref="F21"/>
    </sheetView>
  </sheetViews>
  <sheetFormatPr defaultRowHeight="15" x14ac:dyDescent="0.25"/>
  <cols>
    <col min="1" max="1" width="21.7109375" bestFit="1" customWidth="1"/>
    <col min="2" max="2" width="16.28515625" customWidth="1"/>
    <col min="3" max="3" width="10" customWidth="1"/>
    <col min="4" max="4" width="4.5703125" customWidth="1"/>
    <col min="5" max="5" width="11.28515625" customWidth="1"/>
    <col min="6" max="6" width="8.140625" customWidth="1"/>
    <col min="7" max="7" width="9.5703125" bestFit="1" customWidth="1"/>
    <col min="8" max="8" width="8.5703125" customWidth="1"/>
    <col min="9" max="9" width="11.28515625" bestFit="1" customWidth="1"/>
  </cols>
  <sheetData>
    <row r="2" spans="1:5" x14ac:dyDescent="0.25">
      <c r="A2" s="13" t="s">
        <v>1057</v>
      </c>
      <c r="B2" s="13" t="s">
        <v>1058</v>
      </c>
    </row>
    <row r="3" spans="1:5" x14ac:dyDescent="0.25">
      <c r="A3" s="13" t="s">
        <v>1055</v>
      </c>
      <c r="B3" t="s">
        <v>18</v>
      </c>
      <c r="C3" t="s">
        <v>24</v>
      </c>
      <c r="D3" t="s">
        <v>28</v>
      </c>
      <c r="E3" t="s">
        <v>1056</v>
      </c>
    </row>
    <row r="4" spans="1:5" x14ac:dyDescent="0.25">
      <c r="A4" s="14" t="s">
        <v>21</v>
      </c>
      <c r="B4" s="15">
        <v>22</v>
      </c>
      <c r="C4" s="15">
        <v>58</v>
      </c>
      <c r="D4" s="15">
        <v>61</v>
      </c>
      <c r="E4" s="15">
        <v>141</v>
      </c>
    </row>
    <row r="5" spans="1:5" x14ac:dyDescent="0.25">
      <c r="A5" s="14" t="s">
        <v>1042</v>
      </c>
      <c r="B5" s="15"/>
      <c r="C5" s="15">
        <v>1</v>
      </c>
      <c r="D5" s="15"/>
      <c r="E5" s="15">
        <v>1</v>
      </c>
    </row>
    <row r="6" spans="1:5" x14ac:dyDescent="0.25">
      <c r="A6" s="14" t="s">
        <v>1059</v>
      </c>
      <c r="B6" s="15">
        <v>48</v>
      </c>
      <c r="C6" s="15">
        <v>126</v>
      </c>
      <c r="D6" s="15">
        <v>109</v>
      </c>
      <c r="E6" s="15">
        <v>283</v>
      </c>
    </row>
    <row r="7" spans="1:5" x14ac:dyDescent="0.25">
      <c r="A7" s="14" t="s">
        <v>1060</v>
      </c>
      <c r="B7" s="15">
        <v>31</v>
      </c>
      <c r="C7" s="15">
        <v>52</v>
      </c>
      <c r="D7" s="15">
        <v>63</v>
      </c>
      <c r="E7" s="15">
        <v>146</v>
      </c>
    </row>
    <row r="8" spans="1:5" x14ac:dyDescent="0.25">
      <c r="A8" s="14" t="s">
        <v>1061</v>
      </c>
      <c r="B8" s="15">
        <v>37</v>
      </c>
      <c r="C8" s="15">
        <v>56</v>
      </c>
      <c r="D8" s="15">
        <v>54</v>
      </c>
      <c r="E8" s="15">
        <v>147</v>
      </c>
    </row>
    <row r="9" spans="1:5" x14ac:dyDescent="0.25">
      <c r="A9" s="14" t="s">
        <v>1062</v>
      </c>
      <c r="B9" s="15">
        <v>40</v>
      </c>
      <c r="C9" s="15">
        <v>69</v>
      </c>
      <c r="D9" s="15">
        <v>58</v>
      </c>
      <c r="E9" s="15">
        <v>167</v>
      </c>
    </row>
    <row r="10" spans="1:5" x14ac:dyDescent="0.25">
      <c r="A10" s="14" t="s">
        <v>1063</v>
      </c>
      <c r="B10" s="15">
        <v>24</v>
      </c>
      <c r="C10" s="15">
        <v>52</v>
      </c>
      <c r="D10" s="15">
        <v>39</v>
      </c>
      <c r="E10" s="15">
        <v>115</v>
      </c>
    </row>
    <row r="11" spans="1:5" x14ac:dyDescent="0.25">
      <c r="A11" s="14" t="s">
        <v>1056</v>
      </c>
      <c r="B11" s="15">
        <v>202</v>
      </c>
      <c r="C11" s="15">
        <v>414</v>
      </c>
      <c r="D11" s="15">
        <v>384</v>
      </c>
      <c r="E11" s="15">
        <v>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9"/>
  <sheetViews>
    <sheetView workbookViewId="0">
      <selection activeCell="N12" sqref="N12"/>
    </sheetView>
  </sheetViews>
  <sheetFormatPr defaultRowHeight="15" x14ac:dyDescent="0.25"/>
  <cols>
    <col min="1" max="1" width="16.140625" bestFit="1" customWidth="1"/>
    <col min="2" max="2" width="16.28515625" bestFit="1" customWidth="1"/>
    <col min="3" max="3" width="10" bestFit="1" customWidth="1"/>
    <col min="4" max="4" width="4.5703125" customWidth="1"/>
    <col min="5" max="5" width="11.28515625" bestFit="1" customWidth="1"/>
  </cols>
  <sheetData>
    <row r="2" spans="1:5" x14ac:dyDescent="0.25">
      <c r="A2" s="13" t="s">
        <v>1057</v>
      </c>
      <c r="B2" s="13" t="s">
        <v>1058</v>
      </c>
    </row>
    <row r="3" spans="1:5" x14ac:dyDescent="0.25">
      <c r="A3" s="13" t="s">
        <v>1055</v>
      </c>
      <c r="B3" t="s">
        <v>18</v>
      </c>
      <c r="C3" t="s">
        <v>24</v>
      </c>
      <c r="D3" t="s">
        <v>28</v>
      </c>
      <c r="E3" t="s">
        <v>1056</v>
      </c>
    </row>
    <row r="4" spans="1:5" x14ac:dyDescent="0.25">
      <c r="A4" s="14" t="s">
        <v>1065</v>
      </c>
      <c r="B4" s="15">
        <v>75</v>
      </c>
      <c r="C4" s="15">
        <v>155</v>
      </c>
      <c r="D4" s="15">
        <v>155</v>
      </c>
      <c r="E4" s="15">
        <v>385</v>
      </c>
    </row>
    <row r="5" spans="1:5" x14ac:dyDescent="0.25">
      <c r="A5" s="14" t="s">
        <v>1066</v>
      </c>
      <c r="B5" s="15">
        <v>65</v>
      </c>
      <c r="C5" s="15">
        <v>131</v>
      </c>
      <c r="D5" s="15">
        <v>126</v>
      </c>
      <c r="E5" s="15">
        <v>322</v>
      </c>
    </row>
    <row r="6" spans="1:5" x14ac:dyDescent="0.25">
      <c r="A6" s="14" t="s">
        <v>1067</v>
      </c>
      <c r="B6" s="15">
        <v>35</v>
      </c>
      <c r="C6" s="15">
        <v>80</v>
      </c>
      <c r="D6" s="15">
        <v>48</v>
      </c>
      <c r="E6" s="15">
        <v>163</v>
      </c>
    </row>
    <row r="7" spans="1:5" x14ac:dyDescent="0.25">
      <c r="A7" s="14" t="s">
        <v>1068</v>
      </c>
      <c r="B7" s="15">
        <v>7</v>
      </c>
      <c r="C7" s="15">
        <v>8</v>
      </c>
      <c r="D7" s="15">
        <v>15</v>
      </c>
      <c r="E7" s="15">
        <v>30</v>
      </c>
    </row>
    <row r="8" spans="1:5" x14ac:dyDescent="0.25">
      <c r="A8" s="14" t="s">
        <v>1069</v>
      </c>
      <c r="B8" s="15">
        <v>20</v>
      </c>
      <c r="C8" s="15">
        <v>40</v>
      </c>
      <c r="D8" s="15">
        <v>40</v>
      </c>
      <c r="E8" s="15">
        <v>100</v>
      </c>
    </row>
    <row r="9" spans="1:5" x14ac:dyDescent="0.25">
      <c r="A9" s="14" t="s">
        <v>1056</v>
      </c>
      <c r="B9" s="15">
        <v>202</v>
      </c>
      <c r="C9" s="15">
        <v>414</v>
      </c>
      <c r="D9" s="15">
        <v>384</v>
      </c>
      <c r="E9" s="15">
        <v>1000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0"/>
  <sheetViews>
    <sheetView workbookViewId="0">
      <selection activeCell="I9" sqref="I9"/>
    </sheetView>
  </sheetViews>
  <sheetFormatPr defaultRowHeight="15" x14ac:dyDescent="0.25"/>
  <cols>
    <col min="1" max="1" width="16.140625" bestFit="1" customWidth="1"/>
    <col min="2" max="2" width="16.28515625" bestFit="1" customWidth="1"/>
    <col min="3" max="3" width="10" bestFit="1" customWidth="1"/>
    <col min="4" max="4" width="4.5703125" customWidth="1"/>
    <col min="5" max="5" width="11.28515625" bestFit="1" customWidth="1"/>
  </cols>
  <sheetData>
    <row r="2" spans="1:5" x14ac:dyDescent="0.25">
      <c r="A2" s="13" t="s">
        <v>1057</v>
      </c>
      <c r="B2" s="13" t="s">
        <v>1058</v>
      </c>
    </row>
    <row r="3" spans="1:5" x14ac:dyDescent="0.25">
      <c r="A3" s="13" t="s">
        <v>1070</v>
      </c>
      <c r="B3" t="s">
        <v>18</v>
      </c>
      <c r="C3" t="s">
        <v>24</v>
      </c>
      <c r="D3" t="s">
        <v>28</v>
      </c>
      <c r="E3" t="s">
        <v>1056</v>
      </c>
    </row>
    <row r="4" spans="1:5" x14ac:dyDescent="0.25">
      <c r="A4" s="14">
        <v>1</v>
      </c>
      <c r="B4" s="15">
        <v>41</v>
      </c>
      <c r="C4" s="15">
        <v>96</v>
      </c>
      <c r="D4" s="15">
        <v>104</v>
      </c>
      <c r="E4" s="15">
        <v>241</v>
      </c>
    </row>
    <row r="5" spans="1:5" x14ac:dyDescent="0.25">
      <c r="A5" s="14">
        <v>2</v>
      </c>
      <c r="B5" s="15">
        <v>51</v>
      </c>
      <c r="C5" s="15">
        <v>91</v>
      </c>
      <c r="D5" s="15">
        <v>116</v>
      </c>
      <c r="E5" s="15">
        <v>258</v>
      </c>
    </row>
    <row r="6" spans="1:5" x14ac:dyDescent="0.25">
      <c r="A6" s="14">
        <v>3</v>
      </c>
      <c r="B6" s="15">
        <v>38</v>
      </c>
      <c r="C6" s="15">
        <v>87</v>
      </c>
      <c r="D6" s="15">
        <v>69</v>
      </c>
      <c r="E6" s="15">
        <v>194</v>
      </c>
    </row>
    <row r="7" spans="1:5" x14ac:dyDescent="0.25">
      <c r="A7" s="14">
        <v>4</v>
      </c>
      <c r="B7" s="15">
        <v>43</v>
      </c>
      <c r="C7" s="15">
        <v>65</v>
      </c>
      <c r="D7" s="15">
        <v>56</v>
      </c>
      <c r="E7" s="15">
        <v>164</v>
      </c>
    </row>
    <row r="8" spans="1:5" x14ac:dyDescent="0.25">
      <c r="A8" s="14">
        <v>5</v>
      </c>
      <c r="B8" s="15">
        <v>15</v>
      </c>
      <c r="C8" s="15">
        <v>61</v>
      </c>
      <c r="D8" s="15">
        <v>26</v>
      </c>
      <c r="E8" s="15">
        <v>102</v>
      </c>
    </row>
    <row r="9" spans="1:5" x14ac:dyDescent="0.25">
      <c r="A9" s="14">
        <v>6</v>
      </c>
      <c r="B9" s="15">
        <v>14</v>
      </c>
      <c r="C9" s="15">
        <v>14</v>
      </c>
      <c r="D9" s="15">
        <v>13</v>
      </c>
      <c r="E9" s="15">
        <v>41</v>
      </c>
    </row>
    <row r="10" spans="1:5" x14ac:dyDescent="0.25">
      <c r="A10" s="14" t="s">
        <v>1056</v>
      </c>
      <c r="B10" s="15">
        <v>202</v>
      </c>
      <c r="C10" s="15">
        <v>414</v>
      </c>
      <c r="D10" s="15">
        <v>384</v>
      </c>
      <c r="E10" s="15">
        <v>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"/>
  <sheetViews>
    <sheetView workbookViewId="0">
      <selection activeCell="F11" sqref="F11"/>
    </sheetView>
  </sheetViews>
  <sheetFormatPr defaultRowHeight="15" x14ac:dyDescent="0.25"/>
  <cols>
    <col min="1" max="1" width="16.140625" bestFit="1" customWidth="1"/>
    <col min="2" max="2" width="16.28515625" bestFit="1" customWidth="1"/>
    <col min="3" max="3" width="10" customWidth="1"/>
    <col min="4" max="4" width="4.5703125" customWidth="1"/>
    <col min="5" max="5" width="11.28515625" customWidth="1"/>
    <col min="6" max="6" width="8.140625" customWidth="1"/>
    <col min="7" max="7" width="9.5703125" bestFit="1" customWidth="1"/>
    <col min="8" max="8" width="8.5703125" customWidth="1"/>
    <col min="9" max="9" width="11.28515625" bestFit="1" customWidth="1"/>
  </cols>
  <sheetData>
    <row r="2" spans="1:5" x14ac:dyDescent="0.25">
      <c r="A2" s="13" t="s">
        <v>1057</v>
      </c>
      <c r="B2" s="13" t="s">
        <v>1058</v>
      </c>
    </row>
    <row r="3" spans="1:5" x14ac:dyDescent="0.25">
      <c r="A3" s="13" t="s">
        <v>1055</v>
      </c>
      <c r="B3" t="s">
        <v>18</v>
      </c>
      <c r="C3" t="s">
        <v>24</v>
      </c>
      <c r="D3" t="s">
        <v>28</v>
      </c>
      <c r="E3" t="s">
        <v>1056</v>
      </c>
    </row>
    <row r="4" spans="1:5" x14ac:dyDescent="0.25">
      <c r="A4" s="14" t="s">
        <v>23</v>
      </c>
      <c r="B4" s="15">
        <v>47</v>
      </c>
      <c r="C4" s="15">
        <v>295</v>
      </c>
      <c r="D4" s="15">
        <v>353</v>
      </c>
      <c r="E4" s="15">
        <v>695</v>
      </c>
    </row>
    <row r="5" spans="1:5" x14ac:dyDescent="0.25">
      <c r="A5" s="14" t="s">
        <v>17</v>
      </c>
      <c r="B5" s="15">
        <v>155</v>
      </c>
      <c r="C5" s="15">
        <v>119</v>
      </c>
      <c r="D5" s="15">
        <v>31</v>
      </c>
      <c r="E5" s="15">
        <v>305</v>
      </c>
    </row>
    <row r="6" spans="1:5" x14ac:dyDescent="0.25">
      <c r="A6" s="14" t="s">
        <v>1056</v>
      </c>
      <c r="B6" s="15">
        <v>202</v>
      </c>
      <c r="C6" s="15">
        <v>414</v>
      </c>
      <c r="D6" s="15">
        <v>384</v>
      </c>
      <c r="E6" s="15">
        <v>1000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D7" sqref="D7"/>
    </sheetView>
  </sheetViews>
  <sheetFormatPr defaultRowHeight="15" x14ac:dyDescent="0.25"/>
  <cols>
    <col min="1" max="1" width="17.85546875" bestFit="1" customWidth="1"/>
    <col min="2" max="2" width="11" bestFit="1" customWidth="1"/>
  </cols>
  <sheetData>
    <row r="1" spans="1:4" x14ac:dyDescent="0.25">
      <c r="A1" t="s">
        <v>1043</v>
      </c>
      <c r="B1" t="s">
        <v>1044</v>
      </c>
    </row>
    <row r="2" spans="1:4" x14ac:dyDescent="0.25">
      <c r="A2" t="s">
        <v>1045</v>
      </c>
      <c r="B2">
        <f>COUNTA(Raw_Data!A2:A1001)</f>
        <v>1000</v>
      </c>
    </row>
    <row r="3" spans="1:4" x14ac:dyDescent="0.25">
      <c r="A3" t="s">
        <v>1046</v>
      </c>
      <c r="B3">
        <f>COUNTIF(Raw_Data!K2:K1001,"Converted")</f>
        <v>202</v>
      </c>
    </row>
    <row r="4" spans="1:4" x14ac:dyDescent="0.25">
      <c r="A4" t="s">
        <v>1047</v>
      </c>
      <c r="B4" s="12">
        <f>B3/B2</f>
        <v>0.20200000000000001</v>
      </c>
    </row>
    <row r="5" spans="1:4" x14ac:dyDescent="0.25">
      <c r="A5" t="s">
        <v>1048</v>
      </c>
      <c r="B5">
        <f>COUNTIF(Raw_Data!J2:J1001,"Yes")</f>
        <v>305</v>
      </c>
    </row>
    <row r="6" spans="1:4" x14ac:dyDescent="0.25">
      <c r="A6" t="s">
        <v>1049</v>
      </c>
      <c r="B6">
        <f>COUNTIF(Raw_Data!H2:H1001,"Connected")</f>
        <v>721</v>
      </c>
    </row>
    <row r="7" spans="1:4" x14ac:dyDescent="0.25">
      <c r="A7" t="s">
        <v>1050</v>
      </c>
      <c r="B7">
        <f>SUM(Raw_Data!L2:L1001)</f>
        <v>1174050000</v>
      </c>
      <c r="D7" s="16">
        <f>B7/10000000</f>
        <v>117.405</v>
      </c>
    </row>
    <row r="8" spans="1:4" x14ac:dyDescent="0.25">
      <c r="A8" t="s">
        <v>1051</v>
      </c>
      <c r="B8">
        <f>COUNTIF(Raw_Data!I2:I1001,"Yes")</f>
        <v>559</v>
      </c>
    </row>
    <row r="9" spans="1:4" x14ac:dyDescent="0.25">
      <c r="A9" t="s">
        <v>1052</v>
      </c>
      <c r="B9">
        <f>COUNTIF(Raw_Data!K2:K1001,"Lost")</f>
        <v>384</v>
      </c>
    </row>
    <row r="10" spans="1:4" x14ac:dyDescent="0.25">
      <c r="A10" t="s">
        <v>1053</v>
      </c>
      <c r="B10" s="12">
        <f>B5/B2</f>
        <v>0.30499999999999999</v>
      </c>
    </row>
    <row r="11" spans="1:4" x14ac:dyDescent="0.25">
      <c r="A11" t="s">
        <v>1054</v>
      </c>
      <c r="B11" s="12">
        <f>B3/B5</f>
        <v>0.6622950819672131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1"/>
  <sheetViews>
    <sheetView workbookViewId="0">
      <selection activeCell="N21" sqref="N21"/>
    </sheetView>
  </sheetViews>
  <sheetFormatPr defaultRowHeight="15" x14ac:dyDescent="0.25"/>
  <cols>
    <col min="1" max="1" width="16.140625" customWidth="1"/>
    <col min="2" max="2" width="16.28515625" bestFit="1" customWidth="1"/>
    <col min="3" max="3" width="4.140625" customWidth="1"/>
    <col min="4" max="4" width="11.28515625" bestFit="1" customWidth="1"/>
  </cols>
  <sheetData>
    <row r="2" spans="1:4" x14ac:dyDescent="0.25">
      <c r="A2" s="13" t="s">
        <v>1057</v>
      </c>
      <c r="B2" s="13" t="s">
        <v>1058</v>
      </c>
    </row>
    <row r="3" spans="1:4" x14ac:dyDescent="0.25">
      <c r="A3" s="13" t="s">
        <v>1055</v>
      </c>
      <c r="B3" t="s">
        <v>23</v>
      </c>
      <c r="C3" t="s">
        <v>17</v>
      </c>
      <c r="D3" t="s">
        <v>1056</v>
      </c>
    </row>
    <row r="4" spans="1:4" x14ac:dyDescent="0.25">
      <c r="A4" s="14" t="s">
        <v>20</v>
      </c>
      <c r="B4" s="15">
        <v>114</v>
      </c>
      <c r="C4" s="15">
        <v>51</v>
      </c>
      <c r="D4" s="15">
        <v>165</v>
      </c>
    </row>
    <row r="5" spans="1:4" x14ac:dyDescent="0.25">
      <c r="A5" s="14" t="s">
        <v>26</v>
      </c>
      <c r="B5" s="15">
        <v>135</v>
      </c>
      <c r="C5" s="15">
        <v>61</v>
      </c>
      <c r="D5" s="15">
        <v>196</v>
      </c>
    </row>
    <row r="6" spans="1:4" x14ac:dyDescent="0.25">
      <c r="A6" s="14" t="s">
        <v>30</v>
      </c>
      <c r="B6" s="15">
        <v>110</v>
      </c>
      <c r="C6" s="15">
        <v>42</v>
      </c>
      <c r="D6" s="15">
        <v>152</v>
      </c>
    </row>
    <row r="7" spans="1:4" x14ac:dyDescent="0.25">
      <c r="A7" s="14" t="s">
        <v>36</v>
      </c>
      <c r="B7" s="15">
        <v>119</v>
      </c>
      <c r="C7" s="15">
        <v>42</v>
      </c>
      <c r="D7" s="15">
        <v>161</v>
      </c>
    </row>
    <row r="8" spans="1:4" x14ac:dyDescent="0.25">
      <c r="A8" s="14" t="s">
        <v>33</v>
      </c>
      <c r="B8" s="15">
        <v>64</v>
      </c>
      <c r="C8" s="15">
        <v>36</v>
      </c>
      <c r="D8" s="15">
        <v>100</v>
      </c>
    </row>
    <row r="9" spans="1:4" x14ac:dyDescent="0.25">
      <c r="A9" s="14" t="s">
        <v>1042</v>
      </c>
      <c r="B9" s="15"/>
      <c r="C9" s="15">
        <v>1</v>
      </c>
      <c r="D9" s="15">
        <v>1</v>
      </c>
    </row>
    <row r="10" spans="1:4" x14ac:dyDescent="0.25">
      <c r="A10" s="14" t="s">
        <v>13</v>
      </c>
      <c r="B10" s="15">
        <v>153</v>
      </c>
      <c r="C10" s="15">
        <v>72</v>
      </c>
      <c r="D10" s="15">
        <v>225</v>
      </c>
    </row>
    <row r="11" spans="1:4" x14ac:dyDescent="0.25">
      <c r="A11" s="14" t="s">
        <v>1056</v>
      </c>
      <c r="B11" s="15">
        <v>695</v>
      </c>
      <c r="C11" s="15">
        <v>305</v>
      </c>
      <c r="D11" s="15">
        <v>1000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AA18" sqref="AA18"/>
    </sheetView>
  </sheetViews>
  <sheetFormatPr defaultRowHeight="15" x14ac:dyDescent="0.25"/>
  <cols>
    <col min="1" max="1" width="9.1406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Raw_Data</vt:lpstr>
      <vt:lpstr>lead_source Analysis</vt:lpstr>
      <vt:lpstr>Property_Type_Analysis</vt:lpstr>
      <vt:lpstr>Location_Analysis</vt:lpstr>
      <vt:lpstr>Budget Analysis</vt:lpstr>
      <vt:lpstr>Call_Attempt_Analysis</vt:lpstr>
      <vt:lpstr>Site_Visit_Analysis</vt:lpstr>
      <vt:lpstr>Analysis</vt:lpstr>
      <vt:lpstr>Source_SiteVisit_Analysis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2026-08-16T05:07:35Z</dcterms:created>
  <dcterms:modified xsi:type="dcterms:W3CDTF">2026-08-29T06:08:13Z</dcterms:modified>
</cp:coreProperties>
</file>